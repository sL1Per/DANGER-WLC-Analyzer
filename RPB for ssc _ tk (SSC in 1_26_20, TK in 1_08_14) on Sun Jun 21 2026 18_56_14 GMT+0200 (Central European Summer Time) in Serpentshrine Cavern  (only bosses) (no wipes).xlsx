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Caster" sheetId="2" r:id="rId6"/>
    <sheet state="visible" name="Caster - casts" sheetId="3" r:id="rId7"/>
    <sheet state="visible" name="Healer" sheetId="4" r:id="rId8"/>
    <sheet state="visible" name="Healer - casts" sheetId="5" r:id="rId9"/>
    <sheet state="visible" name="Physical" sheetId="6" r:id="rId10"/>
    <sheet state="visible" name="Physical - casts" sheetId="7" r:id="rId11"/>
    <sheet state="visible" name="Tank" sheetId="8" r:id="rId12"/>
    <sheet state="visible" name="Tank - cast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32">
      <text>
        <t xml:space="preserve">dps: 2.7</t>
      </text>
    </comment>
    <comment authorId="0" ref="M32">
      <text>
        <t xml:space="preserve">dps: 5.6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trinkets equipped on bosses:
10x Icon of the Silver Crescent
10x The Lightning Capacitor</t>
      </text>
    </comment>
    <comment authorId="0" ref="D19">
      <text>
        <t xml:space="preserve">trinkets equipped on bosses:
6x Icon of the Silver Crescent
6x Serpent-Coil Braid</t>
      </text>
    </comment>
    <comment authorId="0" ref="E19">
      <text>
        <t xml:space="preserve">trinkets equipped on bosses:
10x Quagmirran's Eye
10x Icon of the Silver Crescent</t>
      </text>
    </comment>
    <comment authorId="0" ref="F19">
      <text>
        <t xml:space="preserve">trinkets equipped on bosses:
10x Icon of the Silver Crescent
10x Quagmirran's Eye</t>
      </text>
    </comment>
    <comment authorId="0" ref="G19">
      <text>
        <t xml:space="preserve">trinkets equipped on bosses:
10x Quagmirran's Eye
10x Icon of the Silver Crescent</t>
      </text>
    </comment>
    <comment authorId="0" ref="H19">
      <text>
        <t xml:space="preserve">trinkets equipped on bosses:
10x Icon of the Silver Crescent
10x Quagmirran's Eye</t>
      </text>
    </comment>
    <comment authorId="0" ref="I19">
      <text>
        <t xml:space="preserve">trinkets equipped on bosses:
10x Icon of the Silver Crescent
10x Scryer's Bloodgem</t>
      </text>
    </comment>
    <comment authorId="0" ref="B19">
      <text>
        <t xml:space="preserve">trinkets equipped on bosses:
10x Icon of the Silver Crescent
10x Quagmirran's Eye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9">
      <text>
        <t xml:space="preserve">spell haste: 0</t>
      </text>
    </comment>
    <comment authorId="0" ref="F69">
      <text>
        <t xml:space="preserve">spell haste: 0</t>
      </text>
    </comment>
    <comment authorId="0" ref="H71">
      <text>
        <t xml:space="preserve">90 seconds substracted for spell haste buffs</t>
      </text>
    </comment>
    <comment authorId="0" ref="J73">
      <text>
        <t xml:space="preserve">spell haste: 0</t>
      </text>
    </comment>
    <comment authorId="0" ref="K73">
      <text>
        <t xml:space="preserve">spell haste: 0</t>
      </text>
    </comment>
    <comment authorId="0" ref="H69">
      <text>
        <t xml:space="preserve">spell haste: 0</t>
      </text>
    </comment>
    <comment authorId="0" ref="J71">
      <text>
        <t xml:space="preserve">90 seconds substracted for spell haste buffs</t>
      </text>
    </comment>
    <comment authorId="0" ref="L73">
      <text>
        <t xml:space="preserve">spell haste: 0</t>
      </text>
    </comment>
    <comment authorId="0" ref="K71">
      <text>
        <t xml:space="preserve">90 seconds substracted for spell haste buffs</t>
      </text>
    </comment>
    <comment authorId="0" ref="M73">
      <text>
        <t xml:space="preserve">spell haste: 0</t>
      </text>
    </comment>
    <comment authorId="0" ref="J69">
      <text>
        <t xml:space="preserve">spell haste: 0</t>
      </text>
    </comment>
    <comment authorId="0" ref="L71">
      <text>
        <t xml:space="preserve">81 seconds substracted for spell haste buffs</t>
      </text>
    </comment>
    <comment authorId="0" ref="K69">
      <text>
        <t xml:space="preserve">spell haste: 0</t>
      </text>
    </comment>
    <comment authorId="0" ref="M71">
      <text>
        <t xml:space="preserve">90 seconds substracted for spell haste buffs</t>
      </text>
    </comment>
    <comment authorId="0" ref="L69">
      <text>
        <t xml:space="preserve">spell haste: 0</t>
      </text>
    </comment>
    <comment authorId="0" ref="M69">
      <text>
        <t xml:space="preserve">spell haste: 0</t>
      </text>
    </comment>
    <comment authorId="0" ref="C73">
      <text>
        <t xml:space="preserve">spell haste: 0</t>
      </text>
    </comment>
    <comment authorId="0" ref="C71">
      <text>
        <t xml:space="preserve">90 seconds substracted for spell haste buffs</t>
      </text>
    </comment>
    <comment authorId="0" ref="E73">
      <text>
        <t xml:space="preserve">spell haste: 0</t>
      </text>
    </comment>
    <comment authorId="0" ref="F73">
      <text>
        <t xml:space="preserve">spell haste: 0</t>
      </text>
    </comment>
    <comment authorId="0" ref="C69">
      <text>
        <t xml:space="preserve">spell haste: 0</t>
      </text>
    </comment>
    <comment authorId="0" ref="E71">
      <text>
        <t xml:space="preserve">166 seconds substracted for spell haste buffs</t>
      </text>
    </comment>
    <comment authorId="0" ref="F71">
      <text>
        <t xml:space="preserve">98 seconds substracted for spell haste buffs</t>
      </text>
    </comment>
    <comment authorId="0" ref="H73">
      <text>
        <t xml:space="preserve">spell haste: 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trinkets equipped on bosses:
10x Ribbon of Sacrifice
10x Essence of the Martyr</t>
      </text>
    </comment>
    <comment authorId="0" ref="D19">
      <text>
        <t xml:space="preserve">trinkets equipped on bosses:
10x Eye of Gruul
10x Essence of the Martyr</t>
      </text>
    </comment>
    <comment authorId="0" ref="E19">
      <text>
        <t xml:space="preserve">trinkets equipped on bosses:
10x Eye of Gruul
10x Essence of the Martyr</t>
      </text>
    </comment>
    <comment authorId="0" ref="F19">
      <text>
        <t xml:space="preserve">trinkets equipped on bosses:
5x Ribbon of Sacrifice
3x Vengeance of the Illidari
7x Essence of the Martyr
5x Scarab of the Infinite Cycle</t>
      </text>
    </comment>
    <comment authorId="0" ref="B19">
      <text>
        <t xml:space="preserve">trinkets equipped on bosses:
10x Eye of Gruul
10x Bangle of Endless Blessings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2">
      <text>
        <t xml:space="preserve">spell haste: 0</t>
      </text>
    </comment>
    <comment authorId="0" ref="J74">
      <text>
        <t xml:space="preserve">90 seconds substracted for spell haste buffs</t>
      </text>
    </comment>
    <comment authorId="0" ref="J72">
      <text>
        <t xml:space="preserve">spell haste: 0</t>
      </text>
    </comment>
    <comment authorId="0" ref="C76">
      <text>
        <t xml:space="preserve">spell haste: 0</t>
      </text>
    </comment>
    <comment authorId="0" ref="C74">
      <text>
        <t xml:space="preserve">90 seconds substracted for spell haste buffs</t>
      </text>
    </comment>
    <comment authorId="0" ref="E76">
      <text>
        <t xml:space="preserve">spell haste: 0</t>
      </text>
    </comment>
    <comment authorId="0" ref="C72">
      <text>
        <t xml:space="preserve">spell haste: 0</t>
      </text>
    </comment>
    <comment authorId="0" ref="E74">
      <text>
        <t xml:space="preserve">90 seconds substracted for spell haste buffs</t>
      </text>
    </comment>
    <comment authorId="0" ref="G76">
      <text>
        <t xml:space="preserve">spell haste: 0</t>
      </text>
    </comment>
    <comment authorId="0" ref="H76">
      <text>
        <t xml:space="preserve">spell haste: 0</t>
      </text>
    </comment>
    <comment authorId="0" ref="E72">
      <text>
        <t xml:space="preserve">spell haste: 0</t>
      </text>
    </comment>
    <comment authorId="0" ref="G74">
      <text>
        <t xml:space="preserve">90 seconds substracted for spell haste buffs</t>
      </text>
    </comment>
    <comment authorId="0" ref="H74">
      <text>
        <t xml:space="preserve">95 seconds substracted for spell haste buffs</t>
      </text>
    </comment>
    <comment authorId="0" ref="J76">
      <text>
        <t xml:space="preserve">spell haste: 0</t>
      </text>
    </comment>
    <comment authorId="0" ref="G72">
      <text>
        <t xml:space="preserve">spell haste: 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trinkets equipped on bosses:
10x Dragonspine Trophy
10x Bloodlust Brooch</t>
      </text>
    </comment>
    <comment authorId="0" ref="F21">
      <text>
        <t xml:space="preserve">trinkets equipped on bosses:
10x Bloodlust Brooch
10x Abacus of Violent Odds</t>
      </text>
    </comment>
    <comment authorId="0" ref="G21">
      <text>
        <t xml:space="preserve">trinkets equipped on bosses:
10x Bloodlust Brooch
10x Dragonspine Trophy</t>
      </text>
    </comment>
    <comment authorId="0" ref="H21">
      <text>
        <t xml:space="preserve">trinkets equipped on bosses:
10x Bloodlust Brooch
10x Abacus of Violent Odds</t>
      </text>
    </comment>
    <comment authorId="0" ref="I21">
      <text>
        <t xml:space="preserve">trinkets equipped on bosses:
10x Dragonspine Trophy
10x Bloodlust Brooch</t>
      </text>
    </comment>
    <comment authorId="0" ref="J21">
      <text>
        <t xml:space="preserve">trinkets equipped on bosses:
10x Dragonspine Trophy
10x Badge of the Swarmguard</t>
      </text>
    </comment>
    <comment authorId="0" ref="K21">
      <text>
        <t xml:space="preserve">trinkets equipped on bosses:
10x Bloodlust Brooch
10x Hourglass of the Unraveller</t>
      </text>
    </comment>
    <comment authorId="0" ref="B21">
      <text>
        <t xml:space="preserve">trinkets equipped on bosses:
10x Bloodlust Brooch
10x Tsunami Talisman</t>
      </text>
    </comment>
    <comment authorId="0" ref="C21">
      <text>
        <t xml:space="preserve">trinkets equipped on bosses:
10x Bloodlust Brooch
10x Dragonspine Trophy</t>
      </text>
    </comment>
    <comment authorId="0" ref="D21">
      <text>
        <t xml:space="preserve">trinkets equipped on bosses:
10x Tsunami Talisman
10x Bloodlust Brooch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0">
      <text>
        <t xml:space="preserve">81 seconds substracted for spell haste buffs</t>
      </text>
    </comment>
    <comment authorId="0" ref="G70">
      <text>
        <t xml:space="preserve">97 seconds substracted for spell haste buffs</t>
      </text>
    </comment>
    <comment authorId="0" ref="I72">
      <text>
        <t xml:space="preserve">spell haste: 0</t>
      </text>
    </comment>
    <comment authorId="0" ref="I70">
      <text>
        <t xml:space="preserve">90 seconds substracted for spell haste buffs</t>
      </text>
    </comment>
    <comment authorId="0" ref="I68">
      <text>
        <t xml:space="preserve">spell haste: 0</t>
      </text>
    </comment>
    <comment authorId="0" ref="K70">
      <text>
        <t xml:space="preserve">90 seconds substracted for spell haste buffs</t>
      </text>
    </comment>
    <comment authorId="0" ref="M72">
      <text>
        <t xml:space="preserve">spell haste: 0</t>
      </text>
    </comment>
    <comment authorId="0" ref="N72">
      <text>
        <t xml:space="preserve">spell haste: 0</t>
      </text>
    </comment>
    <comment authorId="0" ref="M70">
      <text>
        <t xml:space="preserve">9 seconds substracted for spell haste buffs</t>
      </text>
    </comment>
    <comment authorId="0" ref="N70">
      <text>
        <t xml:space="preserve">9 seconds substracted for spell haste buffs</t>
      </text>
    </comment>
    <comment authorId="0" ref="M68">
      <text>
        <t xml:space="preserve">spell haste: 0</t>
      </text>
    </comment>
    <comment authorId="0" ref="N68">
      <text>
        <t xml:space="preserve">spell haste: 0</t>
      </text>
    </comment>
    <comment authorId="0" ref="P70">
      <text>
        <t xml:space="preserve">90 seconds substracted for spell haste buffs</t>
      </text>
    </comment>
    <comment authorId="0" ref="Q70">
      <text>
        <t xml:space="preserve">90 seconds substracted for spell haste buffs</t>
      </text>
    </comment>
    <comment authorId="0" ref="C72">
      <text>
        <t xml:space="preserve">spell haste: 0</t>
      </text>
    </comment>
    <comment authorId="0" ref="C70">
      <text>
        <t xml:space="preserve">90 seconds substracted for spell haste buffs</t>
      </text>
    </comment>
    <comment authorId="0" ref="C68">
      <text>
        <t xml:space="preserve">spell haste: 0</t>
      </text>
    </comment>
    <comment authorId="0" ref="E70">
      <text>
        <t xml:space="preserve">90 seconds substracted for spell haste buffs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trinkets equipped on bosses:
7x Scarab of Displacement
2x Romulo's Poison Vial
8x Badge of Tenacity
1x Bloodlust Brooch
2x Hourglass of the Unraveller</t>
      </text>
    </comment>
    <comment authorId="0" ref="C21">
      <text>
        <t xml:space="preserve">trinkets equipped on bosses:
8x Icon of the Silver Crescent
10x Eye of Magtheridon
2x Moroes' Lucky Pocket Watch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4">
      <text>
        <t xml:space="preserve">spell haste: 0</t>
      </text>
    </comment>
    <comment authorId="0" ref="C62">
      <text>
        <t xml:space="preserve">90 seconds substracted for spell haste buffs</t>
      </text>
    </comment>
    <comment authorId="0" ref="E64">
      <text>
        <t xml:space="preserve">spell haste: 0</t>
      </text>
    </comment>
    <comment authorId="0" ref="C60">
      <text>
        <t xml:space="preserve">spell haste: 0</t>
      </text>
    </comment>
    <comment authorId="0" ref="E62">
      <text>
        <t xml:space="preserve">90 seconds substracted for spell haste buffs</t>
      </text>
    </comment>
    <comment authorId="0" ref="E60">
      <text>
        <t xml:space="preserve">spell haste: 0</t>
      </text>
    </comment>
  </commentList>
</comments>
</file>

<file path=xl/sharedStrings.xml><?xml version="1.0" encoding="utf-8"?>
<sst xmlns="http://schemas.openxmlformats.org/spreadsheetml/2006/main" count="1737" uniqueCount="838">
  <si>
    <t>Abafamos</t>
  </si>
  <si>
    <t>Anomanderiz</t>
  </si>
  <si>
    <t>Moonxlly</t>
  </si>
  <si>
    <t>Sänsho</t>
  </si>
  <si>
    <t>Anjinho</t>
  </si>
  <si>
    <t>Artesh</t>
  </si>
  <si>
    <t>Malagueta</t>
  </si>
  <si>
    <t>Slvckin</t>
  </si>
  <si>
    <t>Xaff</t>
  </si>
  <si>
    <t>Authentica</t>
  </si>
  <si>
    <t>Squarehammer</t>
  </si>
  <si>
    <t>Xws</t>
  </si>
  <si>
    <t>Jazzfrontman</t>
  </si>
  <si>
    <t>Mynxx</t>
  </si>
  <si>
    <t>Imhoteph</t>
  </si>
  <si>
    <t>Blindberserk</t>
  </si>
  <si>
    <t>Chimpa</t>
  </si>
  <si>
    <t>Chipspatten</t>
  </si>
  <si>
    <t>Manhazitos</t>
  </si>
  <si>
    <t>Darkminds</t>
  </si>
  <si>
    <t>Gyzmoff</t>
  </si>
  <si>
    <t>Sickburñ</t>
  </si>
  <si>
    <t>Waldock</t>
  </si>
  <si>
    <t>Madnap</t>
  </si>
  <si>
    <t>Pandaemonivm</t>
  </si>
  <si>
    <t>Consumables</t>
  </si>
  <si>
    <t>Drums of Battle</t>
  </si>
  <si>
    <t>Flame Cap</t>
  </si>
  <si>
    <t>Destruction Potion</t>
  </si>
  <si>
    <t>Haste Potion</t>
  </si>
  <si>
    <t>Insane Strength Potion</t>
  </si>
  <si>
    <t>Ironshield Potion</t>
  </si>
  <si>
    <t>Living/Free Action Potion</t>
  </si>
  <si>
    <t>Super Healing Potion equivalents</t>
  </si>
  <si>
    <t>Super Mana Potion equivalents</t>
  </si>
  <si>
    <t>Demonic Rune/Dark Rune</t>
  </si>
  <si>
    <t>Master/Major/Greater Healthstone</t>
  </si>
  <si>
    <t>Mana Emerald</t>
  </si>
  <si>
    <t>all other Mana Gems</t>
  </si>
  <si>
    <t>Thistle Tea</t>
  </si>
  <si>
    <t>Heavy Netherweave Bandage</t>
  </si>
  <si>
    <t>Gift of Arthas (uptime% - overall: 51%)</t>
  </si>
  <si>
    <t>54 (46%)</t>
  </si>
  <si>
    <t>18 (18%)</t>
  </si>
  <si>
    <t>Netherweave Net</t>
  </si>
  <si>
    <t>Snowball</t>
  </si>
  <si>
    <t>Damage absorbed</t>
  </si>
  <si>
    <t>Mana Shield</t>
  </si>
  <si>
    <t>Power Word: Shield (excluded from total absorbed!)</t>
  </si>
  <si>
    <t>total absorbed</t>
  </si>
  <si>
    <t>Engineering etc. (⌀ = avg. hits per use)</t>
  </si>
  <si>
    <t>Fel Iron Bomb</t>
  </si>
  <si>
    <t>6 (⌀1)</t>
  </si>
  <si>
    <t>4 (⌀1)</t>
  </si>
  <si>
    <t>Super Sapper Charge</t>
  </si>
  <si>
    <t>7 (⌀2)</t>
  </si>
  <si>
    <t>9 (⌀1)</t>
  </si>
  <si>
    <t>Goblin Sapper Charge</t>
  </si>
  <si>
    <t>4 (⌀3)</t>
  </si>
  <si>
    <t>Thornling Seed</t>
  </si>
  <si>
    <t>1 (⌀0)</t>
  </si>
  <si>
    <t>damage done with Engineering etc. total</t>
  </si>
  <si>
    <t>Interrupted spells</t>
  </si>
  <si>
    <t># of interrupted spells</t>
  </si>
  <si>
    <t>names and sources of interrupted spells</t>
  </si>
  <si>
    <t>Holy Smite (Solarium Priest)</t>
  </si>
  <si>
    <t>Frostbolt (Staff of Disintegration), Fireball (Kael'thas Sunstrider), Great Heal (Solarium Priest)</t>
  </si>
  <si>
    <t>Healing Wave (Fathom-Guard Caribdis)</t>
  </si>
  <si>
    <t>Fireball (Kael'thas Sunstrider)</t>
  </si>
  <si>
    <t>Stats and Miscellanous</t>
  </si>
  <si>
    <t>Commanding Shout uptime on you%</t>
  </si>
  <si>
    <t>Critical heals done</t>
  </si>
  <si>
    <t>3 (42.9%)</t>
  </si>
  <si>
    <t>2 (66.7%)</t>
  </si>
  <si>
    <t>1 (25%)</t>
  </si>
  <si>
    <t>Critical outgoing</t>
  </si>
  <si>
    <t>205 (34.3%)</t>
  </si>
  <si>
    <t>399 (35.2%)</t>
  </si>
  <si>
    <t>284 (36.6%)</t>
  </si>
  <si>
    <t>349 (43.2%)</t>
  </si>
  <si>
    <t>262 (38.5%)</t>
  </si>
  <si>
    <t>250 (35.3%)</t>
  </si>
  <si>
    <t>291 (39.7%)</t>
  </si>
  <si>
    <t>113 (22.9%)</t>
  </si>
  <si>
    <t>Dodge outgoing</t>
  </si>
  <si>
    <t>Miss outgoing</t>
  </si>
  <si>
    <t>Parry outgoing</t>
  </si>
  <si>
    <t>Resist outgoing</t>
  </si>
  <si>
    <t>1 (0.2%)</t>
  </si>
  <si>
    <t>22 (2%)</t>
  </si>
  <si>
    <t>5 (0.7%)</t>
  </si>
  <si>
    <t>7 (1.2%)</t>
  </si>
  <si>
    <t>8 (1.2%)</t>
  </si>
  <si>
    <t>17 (2.5%)</t>
  </si>
  <si>
    <t>3 (0.6%)</t>
  </si>
  <si>
    <t>Critical incoming (Melee hits)</t>
  </si>
  <si>
    <t>Crushing Blow incoming (Melee hits)</t>
  </si>
  <si>
    <t>Blocked incoming (Melee hits)</t>
  </si>
  <si>
    <t>Dodge incoming (Melee hits)</t>
  </si>
  <si>
    <t>Immune incoming (Melee hits)</t>
  </si>
  <si>
    <t>Miss incoming (Melee hits)</t>
  </si>
  <si>
    <t># of extra Windfury Attacks</t>
  </si>
  <si>
    <t># of Battle Squawk buffs on bosses</t>
  </si>
  <si>
    <t>Trinkets and Racials</t>
  </si>
  <si>
    <t>Icon of the Silver Crescent</t>
  </si>
  <si>
    <t>Spell Power (Scryer's Bloodgem and/or Xi'ri's Gift)</t>
  </si>
  <si>
    <t>Berserking</t>
  </si>
  <si>
    <t>Blood Fury</t>
  </si>
  <si>
    <t>Raw avoidable damage taken by tracked abilities</t>
  </si>
  <si>
    <t>Whirlwind (Leotheras the Blind)</t>
  </si>
  <si>
    <t>Scalding Water (Environment)</t>
  </si>
  <si>
    <t>Falling (Environment)</t>
  </si>
  <si>
    <t>Flame Patch (Environment)</t>
  </si>
  <si>
    <t>Flame Strike (Environment)</t>
  </si>
  <si>
    <t>Toxic Spores (Environment)</t>
  </si>
  <si>
    <t>Damage reflected</t>
  </si>
  <si>
    <t>Damage to hostile players (counts as done to self)</t>
  </si>
  <si>
    <t>Friendly Fire (e.g. Charges/Plague/...; counts as done to self)</t>
  </si>
  <si>
    <t># of deaths in total</t>
  </si>
  <si>
    <t>Total (partly) avoidable damage taken</t>
  </si>
  <si>
    <t>Avoidable debuffs applied by tracked abilities</t>
  </si>
  <si>
    <t>Nether Vapor (Nether Vapor)</t>
  </si>
  <si>
    <t>Silence (Thaladred the Darkener)</t>
  </si>
  <si>
    <t>Druids</t>
  </si>
  <si>
    <t>Mages</t>
  </si>
  <si>
    <t>Shamans</t>
  </si>
  <si>
    <t>Warlocks</t>
  </si>
  <si>
    <t># of single target casts</t>
  </si>
  <si>
    <t>Faerie Fire (uptime% - overall: 90%)</t>
  </si>
  <si>
    <t>68 (90%)</t>
  </si>
  <si>
    <t>Arcane Blast</t>
  </si>
  <si>
    <t>Earth Shock</t>
  </si>
  <si>
    <t>Armor</t>
  </si>
  <si>
    <t>Faerie Fire (Feral) (uptime% - overall: 2%)</t>
  </si>
  <si>
    <t>Arcane Brilliance/Arcane Intellect</t>
  </si>
  <si>
    <t>Flame Shock</t>
  </si>
  <si>
    <t>Banish</t>
  </si>
  <si>
    <t>Entangling Roots</t>
  </si>
  <si>
    <t>Arcane Missiles</t>
  </si>
  <si>
    <t>Frost Shock</t>
  </si>
  <si>
    <t>Conflagrate</t>
  </si>
  <si>
    <t>Cyclone</t>
  </si>
  <si>
    <t>Lightning Bolt (rank 1-4, mostly rank 4 if not red)</t>
  </si>
  <si>
    <t>Corruption</t>
  </si>
  <si>
    <t>Insect Swarm (uptime% - overall: 10%)</t>
  </si>
  <si>
    <t>20 (10%)</t>
  </si>
  <si>
    <t>Blink</t>
  </si>
  <si>
    <t>Lightning Bolt (rank 5-12, mostly rank 12 if not red)</t>
  </si>
  <si>
    <t>Curse of Agony</t>
  </si>
  <si>
    <t>Moonfire (uptime% - overall: 43%)</t>
  </si>
  <si>
    <t>70 (43%)</t>
  </si>
  <si>
    <t>Counterspell</t>
  </si>
  <si>
    <t>Lightning Shield</t>
  </si>
  <si>
    <t>Curse of Doom</t>
  </si>
  <si>
    <t>Starfire</t>
  </si>
  <si>
    <t>Fire Blast</t>
  </si>
  <si>
    <t>Purge</t>
  </si>
  <si>
    <t>Curse of Recklessness (uptime% - overall: 70%)</t>
  </si>
  <si>
    <t>20 (70%)</t>
  </si>
  <si>
    <t>Thorns</t>
  </si>
  <si>
    <t>Fireball</t>
  </si>
  <si>
    <t>Earth Elemental Totem</t>
  </si>
  <si>
    <t>Curse of the Elements (uptime% - overall: 94%)</t>
  </si>
  <si>
    <t>35 (94%)</t>
  </si>
  <si>
    <t>Wrath</t>
  </si>
  <si>
    <t>Frostbolt (rank 2+) (WC uptime% - overall: 0%)</t>
  </si>
  <si>
    <t>69 (0%)</t>
  </si>
  <si>
    <t>99 (0%)</t>
  </si>
  <si>
    <t>Fire Elemental Totem</t>
  </si>
  <si>
    <t>Curse of Tongues</t>
  </si>
  <si>
    <t>Hibernate</t>
  </si>
  <si>
    <t>Frostbolt (rank 1)</t>
  </si>
  <si>
    <t>Flametongue Totem</t>
  </si>
  <si>
    <t>Curse of Weakness</t>
  </si>
  <si>
    <t>Abolish Poison</t>
  </si>
  <si>
    <t>Ice Barrier</t>
  </si>
  <si>
    <t>Searing Totem</t>
  </si>
  <si>
    <t>Dark Pact</t>
  </si>
  <si>
    <t>Cure Poison</t>
  </si>
  <si>
    <t>Ice Block</t>
  </si>
  <si>
    <t>Cure Disease</t>
  </si>
  <si>
    <t>Death Coil</t>
  </si>
  <si>
    <t>Remove Curse</t>
  </si>
  <si>
    <t>Ice Lance</t>
  </si>
  <si>
    <t>Drain Life</t>
  </si>
  <si>
    <t>Gift of the Wild/Mark of the Wild</t>
  </si>
  <si>
    <t>Disease Cleansing Totem</t>
  </si>
  <si>
    <t>Drain Mana</t>
  </si>
  <si>
    <t>Healing Touch (rank 13) (overheal%)</t>
  </si>
  <si>
    <t>Pyroblast</t>
  </si>
  <si>
    <t>Poison Cleansing Totem</t>
  </si>
  <si>
    <t>Drain Soul</t>
  </si>
  <si>
    <t>Healing Touch (rank 7-12) (overheal%)</t>
  </si>
  <si>
    <t>Polymorph</t>
  </si>
  <si>
    <t>Fire Resistance Totem</t>
  </si>
  <si>
    <t>Fear</t>
  </si>
  <si>
    <t>Healing Touch (rank 1-6) (overheal%)</t>
  </si>
  <si>
    <t>Remove Lesser Curse</t>
  </si>
  <si>
    <t>Frost Resistance Totem</t>
  </si>
  <si>
    <t>Health Funnel</t>
  </si>
  <si>
    <t>Lifebloom</t>
  </si>
  <si>
    <t>Scorch (Fire Vuln uptime% - overall: 0%)</t>
  </si>
  <si>
    <t>Nature Resistance Totem</t>
  </si>
  <si>
    <t>Immolate</t>
  </si>
  <si>
    <t>Regrowth (rank 10) (overheal%)</t>
  </si>
  <si>
    <t>Scorch% on targets &lt;5 stacks</t>
  </si>
  <si>
    <t>Grace of Air Totem</t>
  </si>
  <si>
    <t>Incinerate</t>
  </si>
  <si>
    <t>Regrowth (rank 5-9) (overheal%)</t>
  </si>
  <si>
    <t>Shoot (wand)</t>
  </si>
  <si>
    <t>Grounding Totem</t>
  </si>
  <si>
    <t>Life Tap</t>
  </si>
  <si>
    <t>Regrowth (rank 1-4) (overheal%)</t>
  </si>
  <si>
    <t>Slow</t>
  </si>
  <si>
    <t>Stoneclaw Totem</t>
  </si>
  <si>
    <t>Searing Pain</t>
  </si>
  <si>
    <t>Rejuvenation (rank 13) (overheal%)</t>
  </si>
  <si>
    <t>Spellsteal</t>
  </si>
  <si>
    <t>Totem of Wrath</t>
  </si>
  <si>
    <t>Shadow Bolt</t>
  </si>
  <si>
    <t>Rejuvenation (rank 7-12) (overheal%)</t>
  </si>
  <si>
    <t>Amplify Magic</t>
  </si>
  <si>
    <t>Tranquil Air Totem</t>
  </si>
  <si>
    <t>Shadowburn</t>
  </si>
  <si>
    <t>Rejuvenation (rank 1-6) (overheal%)</t>
  </si>
  <si>
    <t>Dampen Magic</t>
  </si>
  <si>
    <t>Windfury Totem (rank 5)</t>
  </si>
  <si>
    <t>Shadowfury</t>
  </si>
  <si>
    <t>Swiftmend</t>
  </si>
  <si>
    <t>Melee - excluded from activity!</t>
  </si>
  <si>
    <t>Windfury Totem (rank 1-4)</t>
  </si>
  <si>
    <t>Siphon Life</t>
  </si>
  <si>
    <t>Melee - excluded from activity</t>
  </si>
  <si>
    <t>Windwall Totem</t>
  </si>
  <si>
    <t>Soul Fire</t>
  </si>
  <si>
    <t>Bear Form</t>
  </si>
  <si>
    <t>Wrath of Air Totem</t>
  </si>
  <si>
    <t>Soul Link</t>
  </si>
  <si>
    <t>Cat Form</t>
  </si>
  <si>
    <t>Earthbind Totem</t>
  </si>
  <si>
    <t>Unstable Affliction</t>
  </si>
  <si>
    <t>Dire Bear Form</t>
  </si>
  <si>
    <t>Stoneskin Totem</t>
  </si>
  <si>
    <t>Moonkin Form</t>
  </si>
  <si>
    <t>Strength of Earth Totem</t>
  </si>
  <si>
    <t>Tree of Life</t>
  </si>
  <si>
    <t>Tremor Totem</t>
  </si>
  <si>
    <t>Bash</t>
  </si>
  <si>
    <t>Flametongue Weapon</t>
  </si>
  <si>
    <t>Claw</t>
  </si>
  <si>
    <t>Frostbrand Weapon</t>
  </si>
  <si>
    <t>Cower</t>
  </si>
  <si>
    <t>Rockbiter Weapon</t>
  </si>
  <si>
    <t>Demoralizing Roar</t>
  </si>
  <si>
    <t>Windfury Weapon</t>
  </si>
  <si>
    <t>Enrage</t>
  </si>
  <si>
    <t>Stormstrike</t>
  </si>
  <si>
    <t>Ferocious Bite</t>
  </si>
  <si>
    <t>Growl</t>
  </si>
  <si>
    <t>Earth Shield (uptime total%)</t>
  </si>
  <si>
    <t>Lacerate</t>
  </si>
  <si>
    <t>Water Shield (uptime total%)</t>
  </si>
  <si>
    <t>16 (30%)</t>
  </si>
  <si>
    <t>Maim</t>
  </si>
  <si>
    <t>Healing Stream Totem</t>
  </si>
  <si>
    <t>Mangle (Bear)</t>
  </si>
  <si>
    <t>Mana Spring Totem</t>
  </si>
  <si>
    <t>Mangle (Cat)</t>
  </si>
  <si>
    <t>Healing Wave (rank 12) (overheal%)</t>
  </si>
  <si>
    <t>Maul</t>
  </si>
  <si>
    <t>Healing Wave (rank 7-11) (overheal%)</t>
  </si>
  <si>
    <t>Pounce</t>
  </si>
  <si>
    <t>Healing Wave (rank 1-6) (overheal%)</t>
  </si>
  <si>
    <t>Prowl</t>
  </si>
  <si>
    <t>Lesser Healing Wave (rank 7) (overheal%)</t>
  </si>
  <si>
    <t>Rake</t>
  </si>
  <si>
    <t>Lesser Healing Wave (rank 1-6) (overheal%)</t>
  </si>
  <si>
    <t>5 (0%)</t>
  </si>
  <si>
    <t>Ravage</t>
  </si>
  <si>
    <t>Rip</t>
  </si>
  <si>
    <t>Shred</t>
  </si>
  <si>
    <t>Swipe</t>
  </si>
  <si>
    <t>Thrash (Cat)</t>
  </si>
  <si>
    <t>Tiger's Fury</t>
  </si>
  <si>
    <t># of aoe casts</t>
  </si>
  <si>
    <t>Hurricane</t>
  </si>
  <si>
    <t>Arcane Explosion (rank 2+)</t>
  </si>
  <si>
    <t>Chain Heal (rank 5) (overheal%)</t>
  </si>
  <si>
    <t>Hellfire</t>
  </si>
  <si>
    <t>Arcane Explosion (rank 1)</t>
  </si>
  <si>
    <t>Chain Heal (rank 4) (overheal%)</t>
  </si>
  <si>
    <t>Rain of Fire</t>
  </si>
  <si>
    <t>Blast Wave</t>
  </si>
  <si>
    <t>Chain Heal (rank 3) (overheal%)</t>
  </si>
  <si>
    <t>Seed of Corruption</t>
  </si>
  <si>
    <t>Blizzard (doesn't count for ⌀)</t>
  </si>
  <si>
    <t>Chain Heal (rank 2) (overheal%)</t>
  </si>
  <si>
    <t>Dragon's Breath</t>
  </si>
  <si>
    <t>Chain Heal (rank 1) (overheal%)</t>
  </si>
  <si>
    <t>Cone of Cold</t>
  </si>
  <si>
    <t>Chain Lightning</t>
  </si>
  <si>
    <t>Frost Nova</t>
  </si>
  <si>
    <t>Fire Nova Totem</t>
  </si>
  <si>
    <t>Flamestrike (rank 7)</t>
  </si>
  <si>
    <t>Magma Totem</t>
  </si>
  <si>
    <t>Flamestrike (rank 6)</t>
  </si>
  <si>
    <t># of hits per aoe cast on average (⌀ )</t>
  </si>
  <si>
    <t>seconds active on single target</t>
  </si>
  <si>
    <t>relative active % on single target</t>
  </si>
  <si>
    <t>relative active % total</t>
  </si>
  <si>
    <t>relative active % on aoe</t>
  </si>
  <si>
    <t>seconds active on aoe</t>
  </si>
  <si>
    <t>active % overall from WarcraftLogs (trash %)</t>
  </si>
  <si>
    <t>Class specific cooldowns</t>
  </si>
  <si>
    <t>Blessing of Protection gained on trash</t>
  </si>
  <si>
    <t>Blessing of Protection gained on bosses</t>
  </si>
  <si>
    <t>Blessing of Protection total</t>
  </si>
  <si>
    <t>Bloodlust gained on trash</t>
  </si>
  <si>
    <t>Bloodlust gained on bosses</t>
  </si>
  <si>
    <t>Bloodlust total</t>
  </si>
  <si>
    <t>Innervate used or gained* on trash</t>
  </si>
  <si>
    <t>Innervate gained on trash</t>
  </si>
  <si>
    <t>Innervate used or gained* on bosses</t>
  </si>
  <si>
    <t>9 (1 self)</t>
  </si>
  <si>
    <t>Innervate gained on bosses</t>
  </si>
  <si>
    <t>Innervate total</t>
  </si>
  <si>
    <t>Barkskin on trash</t>
  </si>
  <si>
    <t>Power Infusion gained on trash</t>
  </si>
  <si>
    <t>no assign</t>
  </si>
  <si>
    <t>Amplify Curse on trash</t>
  </si>
  <si>
    <t>Barkskin on bosses</t>
  </si>
  <si>
    <t>Power Infusion gained on bosses</t>
  </si>
  <si>
    <t>Amplify Curse on bosses</t>
  </si>
  <si>
    <t>Barkskin total</t>
  </si>
  <si>
    <t>Power Infusion total</t>
  </si>
  <si>
    <t>Amplify Curse total</t>
  </si>
  <si>
    <t>Challenging Roar on trash</t>
  </si>
  <si>
    <t>Arcane Power/Combustion on trash</t>
  </si>
  <si>
    <t>Elemental Mastery on trash</t>
  </si>
  <si>
    <t>Challenging Roar on bosses</t>
  </si>
  <si>
    <t>Arcane Power/Combustion on bosses</t>
  </si>
  <si>
    <t>Elemental Mastery on bosses</t>
  </si>
  <si>
    <t>Challenging Roar total</t>
  </si>
  <si>
    <t>Arcane Power/Combustion total</t>
  </si>
  <si>
    <t>Elemental Mastery total</t>
  </si>
  <si>
    <t>Dash on trash</t>
  </si>
  <si>
    <t>Cold Snap on trash</t>
  </si>
  <si>
    <t>Mana Tide Totem on trash</t>
  </si>
  <si>
    <t>Soulshatter on trash</t>
  </si>
  <si>
    <t>Dash on bosses</t>
  </si>
  <si>
    <t>Cold Snap on bosses</t>
  </si>
  <si>
    <t>Mana Tide Totem on bosses</t>
  </si>
  <si>
    <t>Soulshatter on bosses</t>
  </si>
  <si>
    <t>Dash total</t>
  </si>
  <si>
    <t>Cold Snap total</t>
  </si>
  <si>
    <t>Mana Tide Totem total</t>
  </si>
  <si>
    <t>Soulshatter total</t>
  </si>
  <si>
    <t>Force of Nature on trash</t>
  </si>
  <si>
    <t>Evocation on trash</t>
  </si>
  <si>
    <t>Nature's Swiftness on trash</t>
  </si>
  <si>
    <t>Force of Nature on bosses</t>
  </si>
  <si>
    <t>Evocation on bosses</t>
  </si>
  <si>
    <t>Nature's Swiftness on bosses</t>
  </si>
  <si>
    <t>Force of Nature total</t>
  </si>
  <si>
    <t>Evocation total</t>
  </si>
  <si>
    <t>Nature's Swiftness total</t>
  </si>
  <si>
    <t>Frenzied Regeneration on trash</t>
  </si>
  <si>
    <t>Icy Veins on trash</t>
  </si>
  <si>
    <t>Shamanistic Rage on trash</t>
  </si>
  <si>
    <t>Frenzied Regeneration on bosses</t>
  </si>
  <si>
    <t>Icy Veins on bosses</t>
  </si>
  <si>
    <t>Shamanistic Rage on bosses</t>
  </si>
  <si>
    <t>Frenzied Regeneration total</t>
  </si>
  <si>
    <t>Icy Veins total</t>
  </si>
  <si>
    <t>Shamanistic Rage total</t>
  </si>
  <si>
    <t>Invisibility on trash</t>
  </si>
  <si>
    <t>Invisibility on bosses</t>
  </si>
  <si>
    <t>Invisibility total</t>
  </si>
  <si>
    <t>Rebirth on trash</t>
  </si>
  <si>
    <t>Presence of Mind on trash</t>
  </si>
  <si>
    <t>Rebirth on bosses</t>
  </si>
  <si>
    <t>Presence of Mind on bosses</t>
  </si>
  <si>
    <t>Rebirth total</t>
  </si>
  <si>
    <t>Presence of Mind total</t>
  </si>
  <si>
    <t>Tranquility on trash</t>
  </si>
  <si>
    <t>Summon Water Elemental on trash</t>
  </si>
  <si>
    <t>Tranquility on bosses</t>
  </si>
  <si>
    <t>Summon Water Elemental on bosses</t>
  </si>
  <si>
    <t>Tranquility total</t>
  </si>
  <si>
    <t>Summon Water Elemental total</t>
  </si>
  <si>
    <t>124 (21.5%)</t>
  </si>
  <si>
    <t>203 (23.4%)</t>
  </si>
  <si>
    <t>352 (14.1%)</t>
  </si>
  <si>
    <t>306 (14.9%)</t>
  </si>
  <si>
    <t>161 (13.3%)</t>
  </si>
  <si>
    <t>4 (7.4%)</t>
  </si>
  <si>
    <t>3 (33.3%)</t>
  </si>
  <si>
    <t>1 (33.3%)</t>
  </si>
  <si>
    <t>9 (16.7%)</t>
  </si>
  <si>
    <t>1 (20%)</t>
  </si>
  <si>
    <t>1 (12.5%)</t>
  </si>
  <si>
    <t>Bangle of Endless Blessings</t>
  </si>
  <si>
    <t>Essence of the Martyr</t>
  </si>
  <si>
    <t>Ribbon of Sacrifice</t>
  </si>
  <si>
    <t>Vengeance of the Illidari</t>
  </si>
  <si>
    <t>Fear Ward</t>
  </si>
  <si>
    <t>Spout (The Lurker Below)</t>
  </si>
  <si>
    <t>Paladins</t>
  </si>
  <si>
    <t>Priests</t>
  </si>
  <si>
    <t>Cleanse</t>
  </si>
  <si>
    <t>Mana Burn</t>
  </si>
  <si>
    <t>Holy Shield</t>
  </si>
  <si>
    <t>Mind Blast (VT efficiency%)</t>
  </si>
  <si>
    <t>Purify</t>
  </si>
  <si>
    <t>Mind Flay (Shadow Vuln uptime% - overall: 0%)</t>
  </si>
  <si>
    <t>Sense Undead</t>
  </si>
  <si>
    <t>Shadowform</t>
  </si>
  <si>
    <t>Turn Undead</t>
  </si>
  <si>
    <t>Shadow Word: Death</t>
  </si>
  <si>
    <t>Blessing of Freedom</t>
  </si>
  <si>
    <t>Shadow Word: Pain (uptime% - overall: 1%)</t>
  </si>
  <si>
    <t>1 (1%)</t>
  </si>
  <si>
    <t>Blessing of Kings/Greater Blessing of Kings</t>
  </si>
  <si>
    <t>Silence</t>
  </si>
  <si>
    <t>Blessing of Light/Greater Blessing of Light</t>
  </si>
  <si>
    <t>Vampiric Embrace (uptime% - overall: 0%)</t>
  </si>
  <si>
    <t>Blessing of Might/Greater Blessing of Might</t>
  </si>
  <si>
    <t>Vampiric Touch (uptime% - overall: 0%)</t>
  </si>
  <si>
    <t>Blessing of Sacrifice</t>
  </si>
  <si>
    <t>Holy Fire</t>
  </si>
  <si>
    <t>Blessing of Salvation/Greater Blessing of Salvation</t>
  </si>
  <si>
    <t>Smite</t>
  </si>
  <si>
    <t>Blessing of Sanctuary/Greater Blessing of Sanctuary</t>
  </si>
  <si>
    <t>Starshards (nightelf only)</t>
  </si>
  <si>
    <t>Blessing of Wisdom/Greater Blessing of Wisdom</t>
  </si>
  <si>
    <t>Concentration Aura</t>
  </si>
  <si>
    <t>1 (0%)</t>
  </si>
  <si>
    <t>Crusader Aura</t>
  </si>
  <si>
    <t>Abolish Disease</t>
  </si>
  <si>
    <t>Devotion Aura</t>
  </si>
  <si>
    <t>Retribution Aura</t>
  </si>
  <si>
    <t>Dispel Magic</t>
  </si>
  <si>
    <t>Fire Resistance Aura</t>
  </si>
  <si>
    <t>Mass Dispel</t>
  </si>
  <si>
    <t>86 (61%)</t>
  </si>
  <si>
    <t>Frost Resistance Aura</t>
  </si>
  <si>
    <t>Divine Spirit/Prayer of Spirit</t>
  </si>
  <si>
    <t>Shadow Resistance Aura</t>
  </si>
  <si>
    <t>Power Word: Fortitude/Prayer of Fortitude</t>
  </si>
  <si>
    <t>Avenger's Shield</t>
  </si>
  <si>
    <t>Shadow Protection/Prayer of Shadow Protection</t>
  </si>
  <si>
    <t>143 (68%)</t>
  </si>
  <si>
    <t>Crusader Strike</t>
  </si>
  <si>
    <t>Inner Fire</t>
  </si>
  <si>
    <t>Exorcism</t>
  </si>
  <si>
    <t>Chastise</t>
  </si>
  <si>
    <t>Hammer of Justice</t>
  </si>
  <si>
    <t>Fade</t>
  </si>
  <si>
    <t>9 (25%)</t>
  </si>
  <si>
    <t>Hammer of Wrath</t>
  </si>
  <si>
    <t>Levitate</t>
  </si>
  <si>
    <t>Holy Shock</t>
  </si>
  <si>
    <t>Mind Control</t>
  </si>
  <si>
    <t>Holy Wrath</t>
  </si>
  <si>
    <t>Mind Soothe</t>
  </si>
  <si>
    <t>Judgement (uptime%)</t>
  </si>
  <si>
    <t>2 (0%)</t>
  </si>
  <si>
    <t>Psychic Scream</t>
  </si>
  <si>
    <t>Righteous Defense</t>
  </si>
  <si>
    <t>Shackle Undead</t>
  </si>
  <si>
    <t>Righteous Fury</t>
  </si>
  <si>
    <t>Binding Heal (overheal%)</t>
  </si>
  <si>
    <t>Seal of Blood</t>
  </si>
  <si>
    <t>Flash Heal (rank 9) (overheal%)</t>
  </si>
  <si>
    <t>283 (52%)</t>
  </si>
  <si>
    <t>316 (40%)</t>
  </si>
  <si>
    <t>Seal of Command (twisted swings on bosses%)</t>
  </si>
  <si>
    <t>Flash Heal (rank 8) (overheal%)</t>
  </si>
  <si>
    <t>Seal of Corruption</t>
  </si>
  <si>
    <t>Flash Heal (rank 7) (overheal%)</t>
  </si>
  <si>
    <t>128 (51%)</t>
  </si>
  <si>
    <t>Seal of Justice</t>
  </si>
  <si>
    <t>Flash Heal (rank 6) (overheal%)</t>
  </si>
  <si>
    <t>Seal of Light</t>
  </si>
  <si>
    <t>Flash Heal (rank 5) (overheal%)</t>
  </si>
  <si>
    <t>Seal of Righteousness</t>
  </si>
  <si>
    <t>Flash Heal (rank 4) (overheal%)</t>
  </si>
  <si>
    <t>Seal of the Crusader</t>
  </si>
  <si>
    <t>Flash Heal (rank 3) (overheal%)</t>
  </si>
  <si>
    <t>Seal of the Martyr</t>
  </si>
  <si>
    <t>Flash Heal (rank 2) (overheal%)</t>
  </si>
  <si>
    <t>29 (59%)</t>
  </si>
  <si>
    <t>Seal of Vengeance</t>
  </si>
  <si>
    <t>Flash Heal (rank 1) (overheal%)</t>
  </si>
  <si>
    <t>53 (32%)</t>
  </si>
  <si>
    <t>Seal of Wisdom</t>
  </si>
  <si>
    <t>Greater Heal (rank 7) (overheal%)</t>
  </si>
  <si>
    <t>7 (42%)</t>
  </si>
  <si>
    <t>Greater Heal (rank 6) (overheal%)</t>
  </si>
  <si>
    <t>Flash of Light (rank 7) (overheal%)</t>
  </si>
  <si>
    <t>713 (51%)</t>
  </si>
  <si>
    <t>Greater Heal (rank 5) (overheal%)</t>
  </si>
  <si>
    <t>20 (21%)</t>
  </si>
  <si>
    <t>Flash of Light (rank 6) (overheal%)</t>
  </si>
  <si>
    <t>Greater Heal (rank 4) (overheal%)</t>
  </si>
  <si>
    <t>Flash of Light (rank 5) (overheal%)</t>
  </si>
  <si>
    <t>Greater Heal (rank 3) (overheal%)</t>
  </si>
  <si>
    <t>129 (67%)</t>
  </si>
  <si>
    <t>Flash of Light (rank 4) (overheal%)</t>
  </si>
  <si>
    <t>Greater Heal (rank 2) (overheal%)</t>
  </si>
  <si>
    <t>9 (79%)</t>
  </si>
  <si>
    <t>67 (26%)</t>
  </si>
  <si>
    <t>Flash of Light (rank 3) (overheal%)</t>
  </si>
  <si>
    <t>Greater Heal (rank 1) (overheal%)</t>
  </si>
  <si>
    <t>Flash of Light (rank 2) (overheal%)</t>
  </si>
  <si>
    <t>Heal (rank 4) (overheal%)</t>
  </si>
  <si>
    <t>Flash of Light (rank 1) (overheal%)</t>
  </si>
  <si>
    <t>Heal (rank 3) (overheal%)</t>
  </si>
  <si>
    <t>Holy Light (rank 11) (overheal%)</t>
  </si>
  <si>
    <t>148 (54%)</t>
  </si>
  <si>
    <t>Heal (rank 2) (overheal%)</t>
  </si>
  <si>
    <t>Holy Light (rank 6-10) (overheal%)</t>
  </si>
  <si>
    <t>Heal (rank 1) (overheal%)</t>
  </si>
  <si>
    <t>Holy Light (rank 1-5) (overheal%)</t>
  </si>
  <si>
    <t>Lesser Heal (overheal%)</t>
  </si>
  <si>
    <t>Power Word: Shield</t>
  </si>
  <si>
    <t>Prayer of Mending</t>
  </si>
  <si>
    <t>Renew (rank 12) (overheal%)</t>
  </si>
  <si>
    <t>17 (80%)</t>
  </si>
  <si>
    <t>136 (70%)</t>
  </si>
  <si>
    <t>Renew (rank 7-11) (overheal%)</t>
  </si>
  <si>
    <t>Renew (rank 1-6) (overheal%)</t>
  </si>
  <si>
    <t>Consecration</t>
  </si>
  <si>
    <t>Circle of Healing (rank 5) (overheal%)</t>
  </si>
  <si>
    <t>493 (48%)</t>
  </si>
  <si>
    <t>391 (30%)</t>
  </si>
  <si>
    <t>222 (28%)</t>
  </si>
  <si>
    <t>Circle of Healing (rank 4) (overheal%)</t>
  </si>
  <si>
    <t>Circle of Healing (rank 3) (overheal%)</t>
  </si>
  <si>
    <t>Circle of Healing (rank 2) (overheal%)</t>
  </si>
  <si>
    <t>Circle of Healing (rank 1) (overheal%)</t>
  </si>
  <si>
    <t>130 (41%)</t>
  </si>
  <si>
    <t>Holy Nova (overheal%)</t>
  </si>
  <si>
    <t>Prayer of Healing (overheal%)</t>
  </si>
  <si>
    <t>7 (63%)</t>
  </si>
  <si>
    <t>1 (22%)</t>
  </si>
  <si>
    <t>Blessing of Protection used or gained* on trash</t>
  </si>
  <si>
    <t>Blessing of Protection used or gained* on bosses</t>
  </si>
  <si>
    <t>9 (3 self)</t>
  </si>
  <si>
    <t>Avenging Wrath on trash</t>
  </si>
  <si>
    <t>Desperate Prayer (dwarf/human only) on trash</t>
  </si>
  <si>
    <t>Avenging Wrath on bosses</t>
  </si>
  <si>
    <t>Desperate Prayer (dwarf/human only) on bosses</t>
  </si>
  <si>
    <t>Avenging Wrath total</t>
  </si>
  <si>
    <t>Desperate Prayer (dwarf/human only) total</t>
  </si>
  <si>
    <t>Divine Favor on trash</t>
  </si>
  <si>
    <t>Devouring Plague (undead only) on trash</t>
  </si>
  <si>
    <t>Divine Favor on bosses</t>
  </si>
  <si>
    <t>Devouring Plague (undead only) on bosses</t>
  </si>
  <si>
    <t>Divine Favor total</t>
  </si>
  <si>
    <t>Devouring Plague (undead only) total</t>
  </si>
  <si>
    <t>Divine Illumination on trash</t>
  </si>
  <si>
    <t>Inner Focus on trash</t>
  </si>
  <si>
    <t>Divine Illumination on bosses</t>
  </si>
  <si>
    <t>Inner Focus on bosses</t>
  </si>
  <si>
    <t>Divine Illumination total</t>
  </si>
  <si>
    <t>Inner Focus total</t>
  </si>
  <si>
    <t>Divine Intervention on trash</t>
  </si>
  <si>
    <t>Pain Suppression on trash</t>
  </si>
  <si>
    <t>Divine Intervention on bosses</t>
  </si>
  <si>
    <t>Pain Suppression on bosses</t>
  </si>
  <si>
    <t>Divine Intervention total</t>
  </si>
  <si>
    <t>Pain Suppression total</t>
  </si>
  <si>
    <t>Divine Protection on trash</t>
  </si>
  <si>
    <t>Power Infusion used or gained* on trash</t>
  </si>
  <si>
    <t>Divine Protection on bosses</t>
  </si>
  <si>
    <t>Power Infusion used or gained* on bosses</t>
  </si>
  <si>
    <t>Divine Protection total</t>
  </si>
  <si>
    <t>Divine Shield on trash</t>
  </si>
  <si>
    <t>Shadowfiend on trash</t>
  </si>
  <si>
    <t>Divine Shield on bosses</t>
  </si>
  <si>
    <t>Shadowfiend on bosses</t>
  </si>
  <si>
    <t>Divine Shield total</t>
  </si>
  <si>
    <t>Shadowfiend total</t>
  </si>
  <si>
    <t>Lay on Hands on trash</t>
  </si>
  <si>
    <t>Lay on Hands on bosses</t>
  </si>
  <si>
    <t>Lay on Hands total</t>
  </si>
  <si>
    <t>Battle Shout uptime on you%</t>
  </si>
  <si>
    <t>3 (7.9%)</t>
  </si>
  <si>
    <t>762 (39.8%)</t>
  </si>
  <si>
    <t>588 (33.3%)</t>
  </si>
  <si>
    <t>444 (35.2%)</t>
  </si>
  <si>
    <t>632 (34.3%)</t>
  </si>
  <si>
    <t>538 (39.9%)</t>
  </si>
  <si>
    <t>1350 (36.8%)</t>
  </si>
  <si>
    <t>734 (34.9%)</t>
  </si>
  <si>
    <t>763 (34.3%)</t>
  </si>
  <si>
    <t>931 (40.5%)</t>
  </si>
  <si>
    <t>521 (43%)</t>
  </si>
  <si>
    <t>102 (5.1%)</t>
  </si>
  <si>
    <t>30 (2.2%)</t>
  </si>
  <si>
    <t>98 (2.7%)</t>
  </si>
  <si>
    <t>57 (3.7%)</t>
  </si>
  <si>
    <t>52 (3%)</t>
  </si>
  <si>
    <t>44 (2%)</t>
  </si>
  <si>
    <t>41 (3.5%)</t>
  </si>
  <si>
    <t>11 (0.9%)</t>
  </si>
  <si>
    <t>2 (0.3%)</t>
  </si>
  <si>
    <t>3 (0.2%)</t>
  </si>
  <si>
    <t>3 (0.4%)</t>
  </si>
  <si>
    <t>241 (8%)</t>
  </si>
  <si>
    <t>40 (2.6%)</t>
  </si>
  <si>
    <t>130 (7.6%)</t>
  </si>
  <si>
    <t>120 (9.3%)</t>
  </si>
  <si>
    <t>30 (1.9%)</t>
  </si>
  <si>
    <t>22 (1.6%)</t>
  </si>
  <si>
    <t>59 (1.6%)</t>
  </si>
  <si>
    <t>22 (1.4%)</t>
  </si>
  <si>
    <t>23 (1.3%)</t>
  </si>
  <si>
    <t>32 (1.4%)</t>
  </si>
  <si>
    <t>27 (2.3%)</t>
  </si>
  <si>
    <t>39 (14.2%)</t>
  </si>
  <si>
    <t>40 (17.2%)</t>
  </si>
  <si>
    <t>3 (12%)</t>
  </si>
  <si>
    <t>1 (16.7%)</t>
  </si>
  <si>
    <t>1 (6.3%)</t>
  </si>
  <si>
    <t>4 (3.7%)</t>
  </si>
  <si>
    <t>42 (39.3%)</t>
  </si>
  <si>
    <t>6 (60%)</t>
  </si>
  <si>
    <t>3 (50%)</t>
  </si>
  <si>
    <t>3 (18.8%)</t>
  </si>
  <si>
    <t>10 (9.3%)</t>
  </si>
  <si>
    <t>1 (10%)</t>
  </si>
  <si>
    <t>Parry incoming (Melee hits)</t>
  </si>
  <si>
    <t>Abacus of Violent Odds</t>
  </si>
  <si>
    <t>Bloodlust Brooch</t>
  </si>
  <si>
    <t>Badge of the Swarmguard</t>
  </si>
  <si>
    <t>Burn (Phoenix)</t>
  </si>
  <si>
    <t>Arcane Orb (Environment)</t>
  </si>
  <si>
    <t>Rebirth (Al'ar)</t>
  </si>
  <si>
    <t>Hunters</t>
  </si>
  <si>
    <t>Rogues</t>
  </si>
  <si>
    <t>Warriors</t>
  </si>
  <si>
    <t>Aimed Shot</t>
  </si>
  <si>
    <t>Ambush</t>
  </si>
  <si>
    <t>Battle Shout (uptime by you total%)</t>
  </si>
  <si>
    <t>26 (79%)</t>
  </si>
  <si>
    <t>34 (67%)</t>
  </si>
  <si>
    <t>Arcane Shot</t>
  </si>
  <si>
    <t>Backstab</t>
  </si>
  <si>
    <t>Berserker Stance</t>
  </si>
  <si>
    <t>Concussive Shot</t>
  </si>
  <si>
    <t>Cheap Shot</t>
  </si>
  <si>
    <t>Bloodthirst</t>
  </si>
  <si>
    <t>Distracting Shot</t>
  </si>
  <si>
    <t>Deadly Throw</t>
  </si>
  <si>
    <t>Charge</t>
  </si>
  <si>
    <t>Disarm Trap</t>
  </si>
  <si>
    <t>Commanding Shout (uptime by you total%)</t>
  </si>
  <si>
    <t>Kill Command</t>
  </si>
  <si>
    <t>Distract</t>
  </si>
  <si>
    <t>Concussion Blow</t>
  </si>
  <si>
    <t>Misdirection (including out of combat casts)</t>
  </si>
  <si>
    <t>Envenom</t>
  </si>
  <si>
    <t>Defensive Stance</t>
  </si>
  <si>
    <t>Mongoose Bite</t>
  </si>
  <si>
    <t>Eviscerate</t>
  </si>
  <si>
    <t>Demoralizing Shout (uptime% - overall: 66%)</t>
  </si>
  <si>
    <t>78 (66%)</t>
  </si>
  <si>
    <t>Raptor Strike</t>
  </si>
  <si>
    <t>Expose Armor (uptime% - overall: 48%)</t>
  </si>
  <si>
    <t>39 (48%)</t>
  </si>
  <si>
    <t>Devastate</t>
  </si>
  <si>
    <t>Scorpid Sting (uptime% - overall: 3%)</t>
  </si>
  <si>
    <t>6 (3%)</t>
  </si>
  <si>
    <t>Feint</t>
  </si>
  <si>
    <t>Disarm</t>
  </si>
  <si>
    <t>Serpent Sting</t>
  </si>
  <si>
    <t>Garrote</t>
  </si>
  <si>
    <t>Execute</t>
  </si>
  <si>
    <t>Silencing Shot</t>
  </si>
  <si>
    <t>Gouge</t>
  </si>
  <si>
    <t>Hamstring (Flurry uptime total%)</t>
  </si>
  <si>
    <t>5 (70%)</t>
  </si>
  <si>
    <t>1 (79%)</t>
  </si>
  <si>
    <t>Steady Shot</t>
  </si>
  <si>
    <t>Hemorrhage</t>
  </si>
  <si>
    <t>Heroic Strike - excluded from activity</t>
  </si>
  <si>
    <t>Tranquilizing Shot</t>
  </si>
  <si>
    <t>Kick</t>
  </si>
  <si>
    <t>Intercept</t>
  </si>
  <si>
    <t>Viper Sting</t>
  </si>
  <si>
    <t>Kidney Shot</t>
  </si>
  <si>
    <t>Intimidating Shout</t>
  </si>
  <si>
    <t>Wing Clip</t>
  </si>
  <si>
    <t>Mutilate</t>
  </si>
  <si>
    <t>Intervene</t>
  </si>
  <si>
    <t>Wyvern Sting</t>
  </si>
  <si>
    <t>Rupture</t>
  </si>
  <si>
    <t>Mocking Blow</t>
  </si>
  <si>
    <t>Aspect of the Beast</t>
  </si>
  <si>
    <t>Shadowstep</t>
  </si>
  <si>
    <t>Mortal Strike</t>
  </si>
  <si>
    <t>1 (41%)</t>
  </si>
  <si>
    <t>Aspect of the Cheetah</t>
  </si>
  <si>
    <t>Shiv</t>
  </si>
  <si>
    <t>Overpower</t>
  </si>
  <si>
    <t>Aspect of the Hawk</t>
  </si>
  <si>
    <t>Sinister Strike</t>
  </si>
  <si>
    <t>Pummel</t>
  </si>
  <si>
    <t>Aspect of the Monkey</t>
  </si>
  <si>
    <t>Slice and Dice (uptime total%)</t>
  </si>
  <si>
    <t>80 (69%)</t>
  </si>
  <si>
    <t>Rampage</t>
  </si>
  <si>
    <t>4 (88%)</t>
  </si>
  <si>
    <t>Aspect of the Pack</t>
  </si>
  <si>
    <t>Rend</t>
  </si>
  <si>
    <t>Aspect of the Viper</t>
  </si>
  <si>
    <t>Revenge</t>
  </si>
  <si>
    <t>Aspect of the Wild</t>
  </si>
  <si>
    <t>Shield Bash</t>
  </si>
  <si>
    <t>Disengage</t>
  </si>
  <si>
    <t>Shield Block</t>
  </si>
  <si>
    <t>Dismiss Pet</t>
  </si>
  <si>
    <t>Shield Slam</t>
  </si>
  <si>
    <t>Eagle Eye</t>
  </si>
  <si>
    <t>Slam</t>
  </si>
  <si>
    <t>Eyes of the Beast</t>
  </si>
  <si>
    <t>157 (67%)</t>
  </si>
  <si>
    <t>Spell Reflection</t>
  </si>
  <si>
    <t>Flare</t>
  </si>
  <si>
    <t>Sunder Armor (uptime% - overall: 4%)</t>
  </si>
  <si>
    <t>8 (4%)</t>
  </si>
  <si>
    <t>Hunter's Mark (uptime% - overall: 75%)</t>
  </si>
  <si>
    <t>31 (75%)</t>
  </si>
  <si>
    <t>Sunder Armor% on targets &lt; 5 stacks</t>
  </si>
  <si>
    <t>8 (100%)</t>
  </si>
  <si>
    <t>Mend Pet</t>
  </si>
  <si>
    <t>Sweeping Strikes</t>
  </si>
  <si>
    <t>Revive Pet</t>
  </si>
  <si>
    <t>400 (48%)</t>
  </si>
  <si>
    <t>Taunt</t>
  </si>
  <si>
    <t>Trueshot Aura</t>
  </si>
  <si>
    <t>Thunder Clap (uptime% - overall: 0%)</t>
  </si>
  <si>
    <t>Auto Shot (Expose Weakness uptime% - overall: 59%)</t>
  </si>
  <si>
    <t>887 (0%)</t>
  </si>
  <si>
    <t>546 (59%)</t>
  </si>
  <si>
    <t>786 (0%)</t>
  </si>
  <si>
    <t>Victory Rush</t>
  </si>
  <si>
    <t>Melee - excl. from activity</t>
  </si>
  <si>
    <t>Melee (Deep Wounds uptime total% - overall: 80%)</t>
  </si>
  <si>
    <t>1314 (74%)</t>
  </si>
  <si>
    <t>581 (73%)</t>
  </si>
  <si>
    <t>14 (41%)</t>
  </si>
  <si>
    <t>30 (31%)</t>
  </si>
  <si>
    <t>1 (92%)</t>
  </si>
  <si>
    <t>10 (29%)</t>
  </si>
  <si>
    <t>Multi-Shot</t>
  </si>
  <si>
    <t>Blade Flurry</t>
  </si>
  <si>
    <t>Cleave (⌀)</t>
  </si>
  <si>
    <t>67 (1.67)</t>
  </si>
  <si>
    <t>40 (1.58)</t>
  </si>
  <si>
    <t>Volley</t>
  </si>
  <si>
    <t>Whirlwind (⌀)</t>
  </si>
  <si>
    <t>146 (1.19)</t>
  </si>
  <si>
    <t>136 (1.24)</t>
  </si>
  <si>
    <t>Explosive Trap</t>
  </si>
  <si>
    <t>Freezing Trap</t>
  </si>
  <si>
    <t>Frost Trap</t>
  </si>
  <si>
    <t>Immolation Trap</t>
  </si>
  <si>
    <t>Snake Trap</t>
  </si>
  <si>
    <t>Adrenaline Rush on trash</t>
  </si>
  <si>
    <t>Berserker Rage on trash</t>
  </si>
  <si>
    <t>6 (1 self)</t>
  </si>
  <si>
    <t>Adrenaline Rush on bosses</t>
  </si>
  <si>
    <t>Berserker Rage on bosses</t>
  </si>
  <si>
    <t>Adrenaline Rush total</t>
  </si>
  <si>
    <t>Berserker Rage total</t>
  </si>
  <si>
    <t>Bestial Wrath on trash</t>
  </si>
  <si>
    <t>Cloak of Shadows on trash</t>
  </si>
  <si>
    <t>Bloodrage on trash</t>
  </si>
  <si>
    <t>Bestial Wrath on bosses</t>
  </si>
  <si>
    <t>Cloak of Shadows on bosses</t>
  </si>
  <si>
    <t>Bloodrage on bosses</t>
  </si>
  <si>
    <t>Bestial Wrath total</t>
  </si>
  <si>
    <t>Cloak of Shadows total</t>
  </si>
  <si>
    <t>Bloodrage total</t>
  </si>
  <si>
    <t>Deterrence on trash</t>
  </si>
  <si>
    <t>Evasion on trash</t>
  </si>
  <si>
    <t>Challenging Shout on trash</t>
  </si>
  <si>
    <t>Deterrence on bosses</t>
  </si>
  <si>
    <t>Evasion on bosses</t>
  </si>
  <si>
    <t>Challenging Shout on bosses</t>
  </si>
  <si>
    <t>Deterrence total</t>
  </si>
  <si>
    <t>Evasion total</t>
  </si>
  <si>
    <t>Challenging Shout total</t>
  </si>
  <si>
    <t>Rapid Fire on trash</t>
  </si>
  <si>
    <t>Vanish on trash</t>
  </si>
  <si>
    <t>Death Wish on trash</t>
  </si>
  <si>
    <t>Rapid Fire on bosses</t>
  </si>
  <si>
    <t>Vanish on bosses</t>
  </si>
  <si>
    <t>Death Wish on bosses</t>
  </si>
  <si>
    <t>Rapid Fire total</t>
  </si>
  <si>
    <t>Vanish total</t>
  </si>
  <si>
    <t>Death Wish total</t>
  </si>
  <si>
    <t>Readiness on trash</t>
  </si>
  <si>
    <t>Last Stand on trash</t>
  </si>
  <si>
    <t>Readiness on bosses</t>
  </si>
  <si>
    <t>Last Stand on bosses</t>
  </si>
  <si>
    <t>Readiness total</t>
  </si>
  <si>
    <t>Last Stand total</t>
  </si>
  <si>
    <t>Recklessness on trash</t>
  </si>
  <si>
    <t>Recklessness on bosses</t>
  </si>
  <si>
    <t>Recklessness total</t>
  </si>
  <si>
    <t>Shield Wall on trash</t>
  </si>
  <si>
    <t>Shield Wall on bosses</t>
  </si>
  <si>
    <t>Shield Wall total</t>
  </si>
  <si>
    <t>589 (35.2%)</t>
  </si>
  <si>
    <t>31 (3.2%)</t>
  </si>
  <si>
    <t>64 (3.9%)</t>
  </si>
  <si>
    <t>39 (4.4%)</t>
  </si>
  <si>
    <t>19 (2.1%)</t>
  </si>
  <si>
    <t>103 (6.2%)</t>
  </si>
  <si>
    <t>34 (3.8%)</t>
  </si>
  <si>
    <t>27 (9.7%)</t>
  </si>
  <si>
    <t>59 (9.9%)</t>
  </si>
  <si>
    <t>19 (3%)</t>
  </si>
  <si>
    <t>303 (47.3%)</t>
  </si>
  <si>
    <t>325 (54.4%)</t>
  </si>
  <si>
    <t>60 (9.4%)</t>
  </si>
  <si>
    <t>39 (6.5%)</t>
  </si>
  <si>
    <t>67 (10.5%)</t>
  </si>
  <si>
    <t>77 (12%)</t>
  </si>
  <si>
    <t>Scarab of Displacement</t>
  </si>
  <si>
    <t>Badge of Tenacity</t>
  </si>
  <si>
    <t>Moroes' Lucky Pocket Watch</t>
  </si>
  <si>
    <t>6 (2%)</t>
  </si>
  <si>
    <t>154 (67%)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</si>
</sst>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1.0"/>
      <color rgb="FF000000"/>
      <name val="Arial"/>
    </font>
    <font>
      <b/>
      <sz val="7.0"/>
      <color rgb="FF000000"/>
      <name val="Arial"/>
    </font>
    <font>
      <sz val="10.0"/>
      <color theme="1"/>
      <name val="Arial"/>
    </font>
    <font>
      <color theme="1"/>
      <name val="Arial"/>
    </font>
    <font>
      <i/>
      <sz val="10.0"/>
      <color rgb="FF000000"/>
      <name val="Arial"/>
    </font>
    <font>
      <i/>
      <sz val="10.0"/>
      <color theme="1"/>
      <name val="Arial"/>
    </font>
    <font>
      <i/>
      <sz val="8.0"/>
      <color rgb="FF000000"/>
      <name val="Arial"/>
    </font>
    <font>
      <i/>
      <sz val="8.0"/>
      <color theme="1"/>
      <name val="Arial"/>
    </font>
    <font/>
    <font>
      <sz val="9.0"/>
      <color theme="1"/>
      <name val="Arial"/>
    </font>
    <font>
      <sz val="8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b/>
      <i/>
      <sz val="10.0"/>
      <color rgb="FF980000"/>
      <name val="Arial"/>
    </font>
    <font>
      <sz val="10.0"/>
      <color rgb="FFFFFFFF"/>
      <name val="Arial"/>
    </font>
    <font>
      <b/>
      <sz val="12.0"/>
      <color rgb="FF000000"/>
      <name val="Arial"/>
    </font>
    <font>
      <u/>
      <sz val="10.0"/>
      <color rgb="FF0000FF"/>
    </font>
    <font>
      <u/>
      <sz val="10.0"/>
      <color rgb="FF0000FF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2D3C9"/>
        <bgColor rgb="FFE2D3C9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47979"/>
        <bgColor rgb="FFF47979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9E8"/>
        <bgColor rgb="FFFFF9E8"/>
      </patternFill>
    </fill>
    <fill>
      <patternFill patternType="solid">
        <fgColor rgb="FFF3E9E2"/>
        <bgColor rgb="FFF3E9E2"/>
      </patternFill>
    </fill>
  </fills>
  <borders count="4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/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thin">
        <color rgb="FF000000"/>
      </left>
    </border>
    <border>
      <left style="thin">
        <color rgb="FFFFFFFF"/>
      </left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000000"/>
      </lef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FFFFFF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left" readingOrder="0" shrinkToFit="0" vertical="center" wrapText="1"/>
    </xf>
    <xf borderId="2" fillId="3" fontId="2" numFmtId="1" xfId="0" applyAlignment="1" applyBorder="1" applyFill="1" applyFont="1" applyNumberFormat="1">
      <alignment horizontal="center" readingOrder="0" vertical="center"/>
    </xf>
    <xf borderId="2" fillId="3" fontId="3" numFmtId="1" xfId="0" applyAlignment="1" applyBorder="1" applyFont="1" applyNumberFormat="1">
      <alignment horizontal="center" readingOrder="0" vertical="center"/>
    </xf>
    <xf borderId="2" fillId="3" fontId="4" numFmtId="1" xfId="0" applyAlignment="1" applyBorder="1" applyFont="1" applyNumberFormat="1">
      <alignment horizontal="center" readingOrder="0" vertical="center"/>
    </xf>
    <xf borderId="2" fillId="4" fontId="2" numFmtId="1" xfId="0" applyAlignment="1" applyBorder="1" applyFill="1" applyFont="1" applyNumberFormat="1">
      <alignment horizontal="center" readingOrder="0" vertical="center"/>
    </xf>
    <xf borderId="2" fillId="4" fontId="4" numFmtId="1" xfId="0" applyAlignment="1" applyBorder="1" applyFont="1" applyNumberFormat="1">
      <alignment horizontal="center" readingOrder="0" vertical="center"/>
    </xf>
    <xf borderId="2" fillId="4" fontId="3" numFmtId="1" xfId="0" applyAlignment="1" applyBorder="1" applyFont="1" applyNumberFormat="1">
      <alignment horizontal="center" readingOrder="0" vertical="center"/>
    </xf>
    <xf borderId="2" fillId="5" fontId="2" numFmtId="1" xfId="0" applyAlignment="1" applyBorder="1" applyFill="1" applyFont="1" applyNumberFormat="1">
      <alignment horizontal="center" readingOrder="0" vertical="center"/>
    </xf>
    <xf borderId="2" fillId="5" fontId="4" numFmtId="1" xfId="0" applyAlignment="1" applyBorder="1" applyFont="1" applyNumberFormat="1">
      <alignment horizontal="center" readingOrder="0" vertical="center"/>
    </xf>
    <xf borderId="2" fillId="6" fontId="3" numFmtId="1" xfId="0" applyAlignment="1" applyBorder="1" applyFill="1" applyFont="1" applyNumberFormat="1">
      <alignment horizontal="center" readingOrder="0" vertical="center"/>
    </xf>
    <xf borderId="2" fillId="6" fontId="5" numFmtId="1" xfId="0" applyAlignment="1" applyBorder="1" applyFont="1" applyNumberFormat="1">
      <alignment horizontal="center" readingOrder="0" vertical="center"/>
    </xf>
    <xf borderId="2" fillId="6" fontId="4" numFmtId="1" xfId="0" applyAlignment="1" applyBorder="1" applyFont="1" applyNumberFormat="1">
      <alignment horizontal="center" readingOrder="0" vertical="center"/>
    </xf>
    <xf borderId="2" fillId="7" fontId="5" numFmtId="1" xfId="0" applyAlignment="1" applyBorder="1" applyFill="1" applyFont="1" applyNumberFormat="1">
      <alignment horizontal="center" readingOrder="0" vertical="center"/>
    </xf>
    <xf borderId="2" fillId="7" fontId="4" numFmtId="1" xfId="0" applyAlignment="1" applyBorder="1" applyFont="1" applyNumberFormat="1">
      <alignment horizontal="center" readingOrder="0" vertical="center"/>
    </xf>
    <xf borderId="2" fillId="8" fontId="2" numFmtId="1" xfId="0" applyAlignment="1" applyBorder="1" applyFill="1" applyFont="1" applyNumberFormat="1">
      <alignment horizontal="center" readingOrder="0" vertical="center"/>
    </xf>
    <xf borderId="2" fillId="9" fontId="5" numFmtId="1" xfId="0" applyAlignment="1" applyBorder="1" applyFill="1" applyFont="1" applyNumberFormat="1">
      <alignment horizontal="center" readingOrder="0" vertical="center"/>
    </xf>
    <xf borderId="2" fillId="9" fontId="4" numFmtId="1" xfId="0" applyAlignment="1" applyBorder="1" applyFont="1" applyNumberFormat="1">
      <alignment horizontal="center" readingOrder="0" vertical="center"/>
    </xf>
    <xf borderId="2" fillId="9" fontId="3" numFmtId="1" xfId="0" applyAlignment="1" applyBorder="1" applyFont="1" applyNumberFormat="1">
      <alignment horizontal="center" readingOrder="0" vertical="center"/>
    </xf>
    <xf borderId="2" fillId="10" fontId="3" numFmtId="1" xfId="0" applyAlignment="1" applyBorder="1" applyFill="1" applyFont="1" applyNumberFormat="1">
      <alignment horizontal="center" readingOrder="0" vertical="center"/>
    </xf>
    <xf borderId="2" fillId="10" fontId="2" numFmtId="1" xfId="0" applyAlignment="1" applyBorder="1" applyFont="1" applyNumberFormat="1">
      <alignment horizontal="center" readingOrder="0" vertical="center"/>
    </xf>
    <xf borderId="2" fillId="11" fontId="4" numFmtId="1" xfId="0" applyAlignment="1" applyBorder="1" applyFill="1" applyFont="1" applyNumberFormat="1">
      <alignment horizontal="center" readingOrder="0" vertical="center"/>
    </xf>
    <xf borderId="2" fillId="11" fontId="5" numFmtId="1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left" readingOrder="0" vertical="center"/>
    </xf>
    <xf borderId="1" fillId="2" fontId="2" numFmtId="1" xfId="0" applyAlignment="1" applyBorder="1" applyFont="1" applyNumberFormat="1">
      <alignment horizontal="right" readingOrder="0" shrinkToFit="0" vertical="center" wrapText="1"/>
    </xf>
    <xf borderId="1" fillId="2" fontId="6" numFmtId="0" xfId="0" applyAlignment="1" applyBorder="1" applyFont="1">
      <alignment horizontal="right" readingOrder="0" vertical="center"/>
    </xf>
    <xf borderId="2" fillId="12" fontId="6" numFmtId="0" xfId="0" applyAlignment="1" applyBorder="1" applyFill="1" applyFont="1">
      <alignment horizontal="center" readingOrder="0" vertical="center"/>
    </xf>
    <xf borderId="2" fillId="13" fontId="6" numFmtId="0" xfId="0" applyAlignment="1" applyBorder="1" applyFill="1" applyFont="1">
      <alignment horizontal="center" readingOrder="0" vertical="center"/>
    </xf>
    <xf borderId="1" fillId="2" fontId="0" numFmtId="1" xfId="0" applyAlignment="1" applyBorder="1" applyFont="1" applyNumberFormat="1">
      <alignment horizontal="left" readingOrder="0" vertical="center"/>
    </xf>
    <xf borderId="1" fillId="2" fontId="1" numFmtId="1" xfId="0" applyAlignment="1" applyBorder="1" applyFont="1" applyNumberFormat="1">
      <alignment horizontal="left"/>
    </xf>
    <xf borderId="2" fillId="6" fontId="6" numFmtId="0" xfId="0" applyAlignment="1" applyBorder="1" applyFont="1">
      <alignment horizontal="center" readingOrder="0" vertical="center"/>
    </xf>
    <xf borderId="2" fillId="14" fontId="6" numFmtId="0" xfId="0" applyAlignment="1" applyBorder="1" applyFill="1" applyFont="1">
      <alignment horizontal="center" readingOrder="0" vertical="center"/>
    </xf>
    <xf borderId="2" fillId="15" fontId="6" numFmtId="0" xfId="0" applyAlignment="1" applyBorder="1" applyFill="1" applyFont="1">
      <alignment horizontal="center" readingOrder="0" vertical="center"/>
    </xf>
    <xf borderId="3" fillId="16" fontId="6" numFmtId="0" xfId="0" applyAlignment="1" applyBorder="1" applyFill="1" applyFont="1">
      <alignment horizontal="center" readingOrder="0" vertical="center"/>
    </xf>
    <xf borderId="1" fillId="2" fontId="7" numFmtId="0" xfId="0" applyAlignment="1" applyBorder="1" applyFont="1">
      <alignment horizontal="right" readingOrder="0"/>
    </xf>
    <xf borderId="4" fillId="17" fontId="7" numFmtId="0" xfId="0" applyAlignment="1" applyBorder="1" applyFill="1" applyFont="1">
      <alignment horizontal="center"/>
    </xf>
    <xf borderId="4" fillId="17" fontId="7" numFmtId="0" xfId="0" applyAlignment="1" applyBorder="1" applyFont="1">
      <alignment horizontal="center" readingOrder="0"/>
    </xf>
    <xf borderId="1" fillId="2" fontId="1" numFmtId="1" xfId="0" applyAlignment="1" applyBorder="1" applyFont="1" applyNumberFormat="1">
      <alignment horizontal="left" vertical="bottom"/>
    </xf>
    <xf borderId="1" fillId="2" fontId="7" numFmtId="0" xfId="0" applyAlignment="1" applyBorder="1" applyFont="1">
      <alignment horizontal="right" readingOrder="0" shrinkToFit="0" wrapText="0"/>
    </xf>
    <xf borderId="5" fillId="8" fontId="7" numFmtId="0" xfId="0" applyAlignment="1" applyBorder="1" applyFont="1">
      <alignment horizontal="center" shrinkToFit="0" wrapText="0"/>
    </xf>
    <xf borderId="5" fillId="8" fontId="7" numFmtId="0" xfId="0" applyAlignment="1" applyBorder="1" applyFont="1">
      <alignment horizontal="center" readingOrder="0" shrinkToFit="0" wrapText="0"/>
    </xf>
    <xf borderId="1" fillId="2" fontId="8" numFmtId="1" xfId="0" applyAlignment="1" applyBorder="1" applyFont="1" applyNumberFormat="1">
      <alignment horizontal="right" readingOrder="0" shrinkToFit="0" vertical="center" wrapText="1"/>
    </xf>
    <xf borderId="2" fillId="18" fontId="6" numFmtId="0" xfId="0" applyAlignment="1" applyBorder="1" applyFill="1" applyFont="1">
      <alignment horizontal="center" readingOrder="0" vertical="center"/>
    </xf>
    <xf borderId="2" fillId="19" fontId="6" numFmtId="0" xfId="0" applyAlignment="1" applyBorder="1" applyFill="1" applyFont="1">
      <alignment horizontal="center" readingOrder="0" vertical="center"/>
    </xf>
    <xf borderId="6" fillId="0" fontId="9" numFmtId="1" xfId="0" applyAlignment="1" applyBorder="1" applyFont="1" applyNumberFormat="1">
      <alignment horizontal="right" readingOrder="0" vertical="center"/>
    </xf>
    <xf borderId="4" fillId="20" fontId="9" numFmtId="0" xfId="0" applyAlignment="1" applyBorder="1" applyFill="1" applyFont="1">
      <alignment horizontal="center" readingOrder="0" vertical="center"/>
    </xf>
    <xf borderId="1" fillId="2" fontId="1" numFmtId="1" xfId="0" applyAlignment="1" applyBorder="1" applyFont="1" applyNumberFormat="1">
      <alignment horizontal="left" readingOrder="0" shrinkToFit="0" vertical="bottom" wrapText="1"/>
    </xf>
    <xf borderId="1" fillId="2" fontId="2" numFmtId="1" xfId="0" applyAlignment="1" applyBorder="1" applyFont="1" applyNumberFormat="1">
      <alignment horizontal="right" readingOrder="0" shrinkToFit="0" vertical="bottom" wrapText="1"/>
    </xf>
    <xf borderId="1" fillId="2" fontId="1" numFmtId="1" xfId="0" applyAlignment="1" applyBorder="1" applyFont="1" applyNumberFormat="1">
      <alignment horizontal="right" readingOrder="0" shrinkToFit="0" vertical="bottom" wrapText="1"/>
    </xf>
    <xf borderId="2" fillId="21" fontId="6" numFmtId="0" xfId="0" applyAlignment="1" applyBorder="1" applyFill="1" applyFont="1">
      <alignment horizontal="center" readingOrder="0" vertical="center"/>
    </xf>
    <xf borderId="1" fillId="2" fontId="10" numFmtId="1" xfId="0" applyAlignment="1" applyBorder="1" applyFont="1" applyNumberFormat="1">
      <alignment horizontal="right" readingOrder="0" shrinkToFit="0" vertical="bottom" wrapText="1"/>
    </xf>
    <xf borderId="7" fillId="0" fontId="11" numFmtId="4" xfId="0" applyAlignment="1" applyBorder="1" applyFont="1" applyNumberFormat="1">
      <alignment horizontal="center" readingOrder="0" shrinkToFit="0" vertical="top" wrapText="1"/>
    </xf>
    <xf borderId="7" fillId="0" fontId="12" numFmtId="0" xfId="0" applyBorder="1" applyFont="1"/>
    <xf borderId="1" fillId="2" fontId="1" numFmtId="1" xfId="0" applyAlignment="1" applyBorder="1" applyFont="1" applyNumberFormat="1">
      <alignment horizontal="left" readingOrder="0" shrinkToFit="0" vertical="top" wrapText="1"/>
    </xf>
    <xf borderId="6" fillId="0" fontId="12" numFmtId="0" xfId="0" applyBorder="1" applyFont="1"/>
    <xf borderId="1" fillId="2" fontId="1" numFmtId="1" xfId="0" applyAlignment="1" applyBorder="1" applyFont="1" applyNumberFormat="1">
      <alignment horizontal="left" shrinkToFit="0" vertical="bottom" wrapText="1"/>
    </xf>
    <xf borderId="8" fillId="3" fontId="2" numFmtId="1" xfId="0" applyAlignment="1" applyBorder="1" applyFont="1" applyNumberFormat="1">
      <alignment horizontal="center" readingOrder="0" vertical="center"/>
    </xf>
    <xf borderId="9" fillId="5" fontId="2" numFmtId="1" xfId="0" applyAlignment="1" applyBorder="1" applyFont="1" applyNumberFormat="1">
      <alignment horizontal="center" readingOrder="0" vertical="center"/>
    </xf>
    <xf borderId="10" fillId="5" fontId="4" numFmtId="1" xfId="0" applyAlignment="1" applyBorder="1" applyFont="1" applyNumberFormat="1">
      <alignment horizontal="center" readingOrder="0" vertical="center"/>
    </xf>
    <xf borderId="11" fillId="9" fontId="3" numFmtId="1" xfId="0" applyAlignment="1" applyBorder="1" applyFont="1" applyNumberFormat="1">
      <alignment horizontal="center" readingOrder="0" vertical="center"/>
    </xf>
    <xf borderId="9" fillId="10" fontId="3" numFmtId="1" xfId="0" applyAlignment="1" applyBorder="1" applyFont="1" applyNumberFormat="1">
      <alignment horizontal="center" readingOrder="0" vertical="center"/>
    </xf>
    <xf borderId="12" fillId="2" fontId="1" numFmtId="1" xfId="0" applyAlignment="1" applyBorder="1" applyFont="1" applyNumberFormat="1">
      <alignment horizontal="left" vertical="bottom"/>
    </xf>
    <xf borderId="13" fillId="2" fontId="1" numFmtId="1" xfId="0" applyAlignment="1" applyBorder="1" applyFont="1" applyNumberFormat="1">
      <alignment horizontal="left" readingOrder="0" vertical="bottom"/>
    </xf>
    <xf borderId="12" fillId="2" fontId="1" numFmtId="1" xfId="0" applyAlignment="1" applyBorder="1" applyFont="1" applyNumberFormat="1">
      <alignment horizontal="left" readingOrder="0" vertical="bottom"/>
    </xf>
    <xf borderId="14" fillId="2" fontId="1" numFmtId="1" xfId="0" applyAlignment="1" applyBorder="1" applyFont="1" applyNumberFormat="1">
      <alignment horizontal="left" vertical="bottom"/>
    </xf>
    <xf borderId="13" fillId="2" fontId="1" numFmtId="1" xfId="0" applyAlignment="1" applyBorder="1" applyFont="1" applyNumberFormat="1">
      <alignment horizontal="left" vertical="bottom"/>
    </xf>
    <xf borderId="1" fillId="2" fontId="13" numFmtId="0" xfId="0" applyAlignment="1" applyBorder="1" applyFont="1">
      <alignment horizontal="right" readingOrder="0"/>
    </xf>
    <xf borderId="15" fillId="11" fontId="13" numFmtId="0" xfId="0" applyAlignment="1" applyBorder="1" applyFont="1">
      <alignment horizontal="center"/>
    </xf>
    <xf borderId="16" fillId="11" fontId="13" numFmtId="0" xfId="0" applyAlignment="1" applyBorder="1" applyFont="1">
      <alignment horizontal="center"/>
    </xf>
    <xf borderId="0" fillId="11" fontId="13" numFmtId="0" xfId="0" applyAlignment="1" applyFont="1">
      <alignment horizontal="center"/>
    </xf>
    <xf borderId="1" fillId="2" fontId="13" numFmtId="0" xfId="0" applyAlignment="1" applyBorder="1" applyFont="1">
      <alignment horizontal="right" readingOrder="0" vertical="bottom"/>
    </xf>
    <xf borderId="15" fillId="13" fontId="13" numFmtId="0" xfId="0" applyAlignment="1" applyBorder="1" applyFont="1">
      <alignment horizontal="center" vertical="bottom"/>
    </xf>
    <xf borderId="16" fillId="13" fontId="13" numFmtId="0" xfId="0" applyAlignment="1" applyBorder="1" applyFont="1">
      <alignment horizontal="center" vertical="bottom"/>
    </xf>
    <xf borderId="0" fillId="13" fontId="13" numFmtId="0" xfId="0" applyAlignment="1" applyFont="1">
      <alignment horizontal="center" vertical="bottom"/>
    </xf>
    <xf borderId="16" fillId="13" fontId="13" numFmtId="0" xfId="0" applyAlignment="1" applyBorder="1" applyFont="1">
      <alignment horizontal="center" readingOrder="0" vertical="bottom"/>
    </xf>
    <xf borderId="0" fillId="13" fontId="13" numFmtId="0" xfId="0" applyAlignment="1" applyFont="1">
      <alignment horizontal="center" readingOrder="0" vertical="bottom"/>
    </xf>
    <xf borderId="15" fillId="13" fontId="13" numFmtId="0" xfId="0" applyAlignment="1" applyBorder="1" applyFont="1">
      <alignment horizontal="center" readingOrder="0" vertical="bottom"/>
    </xf>
    <xf borderId="15" fillId="13" fontId="13" numFmtId="0" xfId="0" applyAlignment="1" applyBorder="1" applyFont="1">
      <alignment horizontal="center"/>
    </xf>
    <xf borderId="16" fillId="13" fontId="13" numFmtId="0" xfId="0" applyAlignment="1" applyBorder="1" applyFont="1">
      <alignment horizontal="center"/>
    </xf>
    <xf borderId="0" fillId="13" fontId="13" numFmtId="0" xfId="0" applyAlignment="1" applyFont="1">
      <alignment horizontal="center"/>
    </xf>
    <xf borderId="15" fillId="13" fontId="13" numFmtId="0" xfId="0" applyAlignment="1" applyBorder="1" applyFont="1">
      <alignment horizontal="center" readingOrder="0"/>
    </xf>
    <xf borderId="16" fillId="13" fontId="13" numFmtId="0" xfId="0" applyAlignment="1" applyBorder="1" applyFont="1">
      <alignment horizontal="center" readingOrder="0"/>
    </xf>
    <xf borderId="0" fillId="13" fontId="13" numFmtId="0" xfId="0" applyAlignment="1" applyFont="1">
      <alignment horizontal="center" readingOrder="0"/>
    </xf>
    <xf borderId="15" fillId="4" fontId="13" numFmtId="0" xfId="0" applyAlignment="1" applyBorder="1" applyFont="1">
      <alignment horizontal="center" vertical="bottom"/>
    </xf>
    <xf borderId="16" fillId="4" fontId="13" numFmtId="0" xfId="0" applyAlignment="1" applyBorder="1" applyFont="1">
      <alignment horizontal="center" vertical="bottom"/>
    </xf>
    <xf borderId="0" fillId="4" fontId="13" numFmtId="0" xfId="0" applyAlignment="1" applyFont="1">
      <alignment horizontal="center" vertical="bottom"/>
    </xf>
    <xf borderId="15" fillId="12" fontId="13" numFmtId="0" xfId="0" applyAlignment="1" applyBorder="1" applyFont="1">
      <alignment horizontal="center" vertical="bottom"/>
    </xf>
    <xf borderId="16" fillId="12" fontId="13" numFmtId="0" xfId="0" applyAlignment="1" applyBorder="1" applyFont="1">
      <alignment horizontal="center" vertical="bottom"/>
    </xf>
    <xf borderId="0" fillId="12" fontId="13" numFmtId="0" xfId="0" applyAlignment="1" applyFont="1">
      <alignment horizontal="center" vertical="bottom"/>
    </xf>
    <xf borderId="15" fillId="9" fontId="13" numFmtId="0" xfId="0" applyAlignment="1" applyBorder="1" applyFont="1">
      <alignment horizontal="center" readingOrder="0"/>
    </xf>
    <xf borderId="16" fillId="9" fontId="13" numFmtId="0" xfId="0" applyAlignment="1" applyBorder="1" applyFont="1">
      <alignment horizontal="center" readingOrder="0"/>
    </xf>
    <xf borderId="0" fillId="9" fontId="13" numFmtId="0" xfId="0" applyAlignment="1" applyFont="1">
      <alignment horizontal="center" readingOrder="0"/>
    </xf>
    <xf borderId="15" fillId="22" fontId="13" numFmtId="0" xfId="0" applyAlignment="1" applyBorder="1" applyFill="1" applyFont="1">
      <alignment horizontal="center" readingOrder="0"/>
    </xf>
    <xf borderId="16" fillId="22" fontId="13" numFmtId="0" xfId="0" applyAlignment="1" applyBorder="1" applyFont="1">
      <alignment horizontal="center" readingOrder="0"/>
    </xf>
    <xf borderId="0" fillId="22" fontId="13" numFmtId="0" xfId="0" applyAlignment="1" applyFont="1">
      <alignment horizontal="center" readingOrder="0"/>
    </xf>
    <xf borderId="12" fillId="2" fontId="1" numFmtId="1" xfId="0" applyAlignment="1" applyBorder="1" applyFont="1" applyNumberFormat="1">
      <alignment horizontal="left" readingOrder="0" vertical="center"/>
    </xf>
    <xf borderId="13" fillId="2" fontId="1" numFmtId="1" xfId="0" applyAlignment="1" applyBorder="1" applyFont="1" applyNumberFormat="1">
      <alignment horizontal="left" readingOrder="0" vertical="center"/>
    </xf>
    <xf borderId="14" fillId="2" fontId="1" numFmtId="1" xfId="0" applyAlignment="1" applyBorder="1" applyFont="1" applyNumberFormat="1">
      <alignment horizontal="left" readingOrder="0" vertical="center"/>
    </xf>
    <xf borderId="8" fillId="23" fontId="6" numFmtId="0" xfId="0" applyAlignment="1" applyBorder="1" applyFill="1" applyFont="1">
      <alignment horizontal="center" readingOrder="0" vertical="center"/>
    </xf>
    <xf borderId="9" fillId="23" fontId="6" numFmtId="0" xfId="0" applyAlignment="1" applyBorder="1" applyFont="1">
      <alignment horizontal="center" readingOrder="0" vertical="center"/>
    </xf>
    <xf borderId="10" fillId="23" fontId="6" numFmtId="0" xfId="0" applyAlignment="1" applyBorder="1" applyFont="1">
      <alignment horizontal="center" readingOrder="0" vertical="center"/>
    </xf>
    <xf borderId="11" fillId="23" fontId="6" numFmtId="0" xfId="0" applyAlignment="1" applyBorder="1" applyFont="1">
      <alignment horizontal="center" readingOrder="0" vertical="center"/>
    </xf>
    <xf borderId="2" fillId="23" fontId="6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right" readingOrder="0" vertical="center"/>
    </xf>
    <xf borderId="17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horizontal="center" readingOrder="0" vertical="center"/>
    </xf>
    <xf borderId="25" fillId="0" fontId="9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horizontal="center" readingOrder="0" vertical="center"/>
    </xf>
    <xf borderId="1" fillId="2" fontId="14" numFmtId="1" xfId="0" applyAlignment="1" applyBorder="1" applyFont="1" applyNumberFormat="1">
      <alignment horizontal="right" readingOrder="0" shrinkToFit="0" vertical="center" wrapText="1"/>
    </xf>
    <xf borderId="8" fillId="7" fontId="15" numFmtId="0" xfId="0" applyAlignment="1" applyBorder="1" applyFont="1">
      <alignment horizontal="center" readingOrder="0" vertical="center"/>
    </xf>
    <xf borderId="9" fillId="7" fontId="16" numFmtId="0" xfId="0" applyAlignment="1" applyBorder="1" applyFont="1">
      <alignment horizontal="center" readingOrder="0" vertical="center"/>
    </xf>
    <xf borderId="10" fillId="7" fontId="6" numFmtId="0" xfId="0" applyAlignment="1" applyBorder="1" applyFont="1">
      <alignment horizontal="center" readingOrder="0" vertical="center"/>
    </xf>
    <xf borderId="11" fillId="7" fontId="17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center" readingOrder="0" vertical="center"/>
    </xf>
    <xf borderId="2" fillId="7" fontId="18" numFmtId="0" xfId="0" applyAlignment="1" applyBorder="1" applyFont="1">
      <alignment horizontal="center" readingOrder="0" vertical="center"/>
    </xf>
    <xf borderId="9" fillId="7" fontId="6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readingOrder="0" vertical="center"/>
    </xf>
    <xf borderId="10" fillId="7" fontId="19" numFmtId="0" xfId="0" applyAlignment="1" applyBorder="1" applyFont="1">
      <alignment horizontal="center" readingOrder="0" vertical="center"/>
    </xf>
    <xf borderId="11" fillId="7" fontId="6" numFmtId="0" xfId="0" applyAlignment="1" applyBorder="1" applyFont="1">
      <alignment horizontal="center" readingOrder="0" vertical="center"/>
    </xf>
    <xf borderId="8" fillId="8" fontId="20" numFmtId="0" xfId="0" applyAlignment="1" applyBorder="1" applyFont="1">
      <alignment horizontal="center" readingOrder="0" vertical="center"/>
    </xf>
    <xf borderId="9" fillId="8" fontId="20" numFmtId="0" xfId="0" applyAlignment="1" applyBorder="1" applyFont="1">
      <alignment horizontal="center" readingOrder="0" vertical="center"/>
    </xf>
    <xf borderId="10" fillId="8" fontId="20" numFmtId="0" xfId="0" applyAlignment="1" applyBorder="1" applyFont="1">
      <alignment horizontal="center" readingOrder="0" vertical="center"/>
    </xf>
    <xf borderId="11" fillId="8" fontId="20" numFmtId="0" xfId="0" applyAlignment="1" applyBorder="1" applyFont="1">
      <alignment horizontal="center" readingOrder="0" vertical="center"/>
    </xf>
    <xf borderId="9" fillId="8" fontId="21" numFmtId="0" xfId="0" applyAlignment="1" applyBorder="1" applyFont="1">
      <alignment horizontal="center" readingOrder="0" vertical="center"/>
    </xf>
    <xf borderId="2" fillId="8" fontId="20" numFmtId="0" xfId="0" applyAlignment="1" applyBorder="1" applyFont="1">
      <alignment horizontal="center" readingOrder="0" vertical="center"/>
    </xf>
    <xf borderId="8" fillId="24" fontId="20" numFmtId="0" xfId="0" applyAlignment="1" applyBorder="1" applyFill="1" applyFont="1">
      <alignment horizontal="center" readingOrder="0" vertical="center"/>
    </xf>
    <xf borderId="9" fillId="24" fontId="20" numFmtId="0" xfId="0" applyAlignment="1" applyBorder="1" applyFont="1">
      <alignment horizontal="center" readingOrder="0" vertical="center"/>
    </xf>
    <xf borderId="10" fillId="24" fontId="20" numFmtId="0" xfId="0" applyAlignment="1" applyBorder="1" applyFont="1">
      <alignment horizontal="center" readingOrder="0" vertical="center"/>
    </xf>
    <xf borderId="11" fillId="24" fontId="22" numFmtId="0" xfId="0" applyAlignment="1" applyBorder="1" applyFont="1">
      <alignment horizontal="center" readingOrder="0" vertical="center"/>
    </xf>
    <xf borderId="2" fillId="24" fontId="20" numFmtId="0" xfId="0" applyAlignment="1" applyBorder="1" applyFont="1">
      <alignment horizontal="center" readingOrder="0" vertical="center"/>
    </xf>
    <xf borderId="9" fillId="24" fontId="23" numFmtId="0" xfId="0" applyAlignment="1" applyBorder="1" applyFont="1">
      <alignment horizontal="center" readingOrder="0" vertical="center"/>
    </xf>
    <xf borderId="8" fillId="25" fontId="20" numFmtId="0" xfId="0" applyAlignment="1" applyBorder="1" applyFill="1" applyFont="1">
      <alignment horizontal="center" readingOrder="0" vertical="center"/>
    </xf>
    <xf borderId="9" fillId="25" fontId="20" numFmtId="0" xfId="0" applyAlignment="1" applyBorder="1" applyFont="1">
      <alignment horizontal="center" readingOrder="0" vertical="center"/>
    </xf>
    <xf borderId="10" fillId="25" fontId="20" numFmtId="0" xfId="0" applyAlignment="1" applyBorder="1" applyFont="1">
      <alignment horizontal="center" readingOrder="0" vertical="center"/>
    </xf>
    <xf borderId="11" fillId="25" fontId="20" numFmtId="0" xfId="0" applyAlignment="1" applyBorder="1" applyFont="1">
      <alignment horizontal="center" readingOrder="0" vertical="center"/>
    </xf>
    <xf borderId="2" fillId="25" fontId="20" numFmtId="0" xfId="0" applyAlignment="1" applyBorder="1" applyFont="1">
      <alignment horizontal="center" readingOrder="0" vertical="center"/>
    </xf>
    <xf borderId="27" fillId="16" fontId="6" numFmtId="0" xfId="0" applyAlignment="1" applyBorder="1" applyFont="1">
      <alignment horizontal="center" readingOrder="0" vertical="center"/>
    </xf>
    <xf borderId="28" fillId="16" fontId="6" numFmtId="0" xfId="0" applyAlignment="1" applyBorder="1" applyFont="1">
      <alignment horizontal="center" readingOrder="0" vertical="center"/>
    </xf>
    <xf borderId="29" fillId="16" fontId="6" numFmtId="0" xfId="0" applyAlignment="1" applyBorder="1" applyFont="1">
      <alignment horizontal="center" readingOrder="0" vertical="center"/>
    </xf>
    <xf borderId="30" fillId="16" fontId="6" numFmtId="0" xfId="0" applyAlignment="1" applyBorder="1" applyFont="1">
      <alignment horizontal="center" readingOrder="0" vertical="center"/>
    </xf>
    <xf borderId="12" fillId="2" fontId="1" numFmtId="9" xfId="0" applyAlignment="1" applyBorder="1" applyFont="1" applyNumberFormat="1">
      <alignment horizontal="center" readingOrder="0" vertical="center"/>
    </xf>
    <xf borderId="13" fillId="2" fontId="1" numFmtId="9" xfId="0" applyAlignment="1" applyBorder="1" applyFont="1" applyNumberFormat="1">
      <alignment horizontal="center" readingOrder="0" vertical="center"/>
    </xf>
    <xf borderId="14" fillId="2" fontId="1" numFmtId="9" xfId="0" applyAlignment="1" applyBorder="1" applyFont="1" applyNumberFormat="1">
      <alignment horizontal="center" readingOrder="0" vertical="center"/>
    </xf>
    <xf borderId="1" fillId="2" fontId="1" numFmtId="9" xfId="0" applyAlignment="1" applyBorder="1" applyFont="1" applyNumberFormat="1">
      <alignment horizontal="center" readingOrder="0" vertical="center"/>
    </xf>
    <xf borderId="12" fillId="2" fontId="1" numFmtId="1" xfId="0" applyAlignment="1" applyBorder="1" applyFont="1" applyNumberFormat="1">
      <alignment horizontal="left" readingOrder="0" shrinkToFit="0" vertical="top" wrapText="1"/>
    </xf>
    <xf borderId="13" fillId="2" fontId="1" numFmtId="1" xfId="0" applyAlignment="1" applyBorder="1" applyFont="1" applyNumberFormat="1">
      <alignment horizontal="left" readingOrder="0" shrinkToFit="0" vertical="top" wrapText="1"/>
    </xf>
    <xf borderId="14" fillId="2" fontId="1" numFmtId="1" xfId="0" applyAlignment="1" applyBorder="1" applyFont="1" applyNumberFormat="1">
      <alignment horizontal="left" readingOrder="0" shrinkToFit="0" vertical="top" wrapText="1"/>
    </xf>
    <xf borderId="12" fillId="2" fontId="2" numFmtId="1" xfId="0" applyAlignment="1" applyBorder="1" applyFont="1" applyNumberFormat="1">
      <alignment horizontal="left" readingOrder="0" vertical="center"/>
    </xf>
    <xf borderId="14" fillId="2" fontId="2" numFmtId="1" xfId="0" applyAlignment="1" applyBorder="1" applyFont="1" applyNumberFormat="1">
      <alignment horizontal="left" readingOrder="0" vertical="center"/>
    </xf>
    <xf borderId="10" fillId="9" fontId="3" numFmtId="1" xfId="0" applyAlignment="1" applyBorder="1" applyFont="1" applyNumberFormat="1">
      <alignment horizontal="center" readingOrder="0" vertical="center"/>
    </xf>
    <xf borderId="10" fillId="10" fontId="2" numFmtId="1" xfId="0" applyAlignment="1" applyBorder="1" applyFont="1" applyNumberFormat="1">
      <alignment horizontal="center" readingOrder="0" vertical="center"/>
    </xf>
    <xf borderId="6" fillId="2" fontId="1" numFmtId="1" xfId="0" applyAlignment="1" applyBorder="1" applyFont="1" applyNumberFormat="1">
      <alignment horizontal="left" readingOrder="0" vertical="center"/>
    </xf>
    <xf borderId="31" fillId="2" fontId="1" numFmtId="1" xfId="0" applyAlignment="1" applyBorder="1" applyFont="1" applyNumberFormat="1">
      <alignment horizontal="left" readingOrder="0" vertical="center"/>
    </xf>
    <xf borderId="32" fillId="26" fontId="6" numFmtId="0" xfId="0" applyAlignment="1" applyBorder="1" applyFill="1" applyFont="1">
      <alignment horizontal="left" readingOrder="0" vertical="center"/>
    </xf>
    <xf borderId="2" fillId="26" fontId="6" numFmtId="0" xfId="0" applyAlignment="1" applyBorder="1" applyFont="1">
      <alignment horizontal="center" readingOrder="0" vertical="center"/>
    </xf>
    <xf borderId="9" fillId="17" fontId="6" numFmtId="0" xfId="0" applyAlignment="1" applyBorder="1" applyFont="1">
      <alignment horizontal="left" readingOrder="0" vertical="center"/>
    </xf>
    <xf borderId="2" fillId="17" fontId="6" numFmtId="0" xfId="0" applyAlignment="1" applyBorder="1" applyFont="1">
      <alignment horizontal="center" readingOrder="0" vertical="center"/>
    </xf>
    <xf borderId="10" fillId="17" fontId="6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left" readingOrder="0" vertical="center"/>
    </xf>
    <xf borderId="10" fillId="4" fontId="6" numFmtId="0" xfId="0" applyAlignment="1" applyBorder="1" applyFont="1">
      <alignment horizontal="center" readingOrder="0" vertical="center"/>
    </xf>
    <xf borderId="9" fillId="10" fontId="6" numFmtId="0" xfId="0" applyAlignment="1" applyBorder="1" applyFont="1">
      <alignment horizontal="left" readingOrder="0" vertical="center"/>
    </xf>
    <xf borderId="2" fillId="10" fontId="6" numFmtId="0" xfId="0" applyAlignment="1" applyBorder="1" applyFont="1">
      <alignment horizontal="center" readingOrder="0" vertical="center"/>
    </xf>
    <xf borderId="10" fillId="10" fontId="6" numFmtId="0" xfId="0" applyAlignment="1" applyBorder="1" applyFont="1">
      <alignment horizontal="center" readingOrder="0" vertical="center"/>
    </xf>
    <xf borderId="9" fillId="26" fontId="6" numFmtId="0" xfId="0" applyAlignment="1" applyBorder="1" applyFont="1">
      <alignment horizontal="left" readingOrder="0" vertical="center"/>
    </xf>
    <xf borderId="10" fillId="26" fontId="6" numFmtId="0" xfId="0" applyAlignment="1" applyBorder="1" applyFont="1">
      <alignment horizontal="center" readingOrder="0" vertical="center"/>
    </xf>
    <xf borderId="32" fillId="27" fontId="6" numFmtId="0" xfId="0" applyAlignment="1" applyBorder="1" applyFill="1" applyFont="1">
      <alignment horizontal="left" readingOrder="0" vertical="center"/>
    </xf>
    <xf borderId="2" fillId="27" fontId="6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left" readingOrder="0" vertical="center"/>
    </xf>
    <xf borderId="10" fillId="5" fontId="6" numFmtId="0" xfId="0" applyAlignment="1" applyBorder="1" applyFont="1">
      <alignment horizontal="center" readingOrder="0" vertical="center"/>
    </xf>
    <xf borderId="32" fillId="4" fontId="6" numFmtId="0" xfId="0" applyAlignment="1" applyBorder="1" applyFont="1">
      <alignment horizontal="left" readingOrder="0" vertical="center"/>
    </xf>
    <xf borderId="2" fillId="4" fontId="6" numFmtId="0" xfId="0" applyAlignment="1" applyBorder="1" applyFont="1">
      <alignment horizontal="center" readingOrder="0" vertical="center"/>
    </xf>
    <xf borderId="9" fillId="8" fontId="6" numFmtId="0" xfId="0" applyAlignment="1" applyBorder="1" applyFont="1">
      <alignment horizontal="left" readingOrder="0" vertical="center"/>
    </xf>
    <xf borderId="10" fillId="8" fontId="6" numFmtId="0" xfId="0" applyAlignment="1" applyBorder="1" applyFont="1">
      <alignment horizontal="center" readingOrder="0" vertical="center"/>
    </xf>
    <xf borderId="9" fillId="28" fontId="6" numFmtId="0" xfId="0" applyAlignment="1" applyBorder="1" applyFill="1" applyFont="1">
      <alignment horizontal="left" readingOrder="0" vertical="center"/>
    </xf>
    <xf borderId="10" fillId="28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32" fillId="29" fontId="6" numFmtId="0" xfId="0" applyAlignment="1" applyBorder="1" applyFill="1" applyFont="1">
      <alignment horizontal="left" readingOrder="0" vertical="center"/>
    </xf>
    <xf borderId="2" fillId="29" fontId="6" numFmtId="0" xfId="0" applyAlignment="1" applyBorder="1" applyFont="1">
      <alignment horizontal="center" readingOrder="0" vertical="center"/>
    </xf>
    <xf borderId="2" fillId="10" fontId="24" numFmtId="0" xfId="0" applyAlignment="1" applyBorder="1" applyFont="1">
      <alignment horizontal="center" readingOrder="0" vertical="center"/>
    </xf>
    <xf borderId="32" fillId="10" fontId="6" numFmtId="0" xfId="0" applyAlignment="1" applyBorder="1" applyFont="1">
      <alignment horizontal="left" readingOrder="0" vertical="center"/>
    </xf>
    <xf borderId="16" fillId="17" fontId="7" numFmtId="0" xfId="0" applyAlignment="1" applyBorder="1" applyFont="1">
      <alignment horizontal="left" readingOrder="0"/>
    </xf>
    <xf borderId="0" fillId="17" fontId="7" numFmtId="0" xfId="0" applyAlignment="1" applyFont="1">
      <alignment horizontal="center" readingOrder="0"/>
    </xf>
    <xf borderId="32" fillId="3" fontId="6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center" readingOrder="0" vertical="center"/>
    </xf>
    <xf borderId="10" fillId="26" fontId="24" numFmtId="0" xfId="0" applyAlignment="1" applyBorder="1" applyFont="1">
      <alignment horizontal="center" readingOrder="0" vertical="center"/>
    </xf>
    <xf borderId="9" fillId="7" fontId="6" numFmtId="0" xfId="0" applyAlignment="1" applyBorder="1" applyFont="1">
      <alignment horizontal="left" readingOrder="0" vertical="center"/>
    </xf>
    <xf borderId="16" fillId="7" fontId="7" numFmtId="0" xfId="0" applyAlignment="1" applyBorder="1" applyFont="1">
      <alignment horizontal="left" readingOrder="0"/>
    </xf>
    <xf borderId="0" fillId="7" fontId="7" numFmtId="0" xfId="0" applyAlignment="1" applyFont="1">
      <alignment horizontal="center" readingOrder="0"/>
    </xf>
    <xf borderId="32" fillId="7" fontId="6" numFmtId="0" xfId="0" applyAlignment="1" applyBorder="1" applyFont="1">
      <alignment horizontal="left" readingOrder="0" vertical="center"/>
    </xf>
    <xf borderId="9" fillId="30" fontId="6" numFmtId="0" xfId="0" applyAlignment="1" applyBorder="1" applyFill="1" applyFont="1">
      <alignment horizontal="left" readingOrder="0" vertical="center"/>
    </xf>
    <xf borderId="10" fillId="30" fontId="6" numFmtId="0" xfId="0" applyAlignment="1" applyBorder="1" applyFont="1">
      <alignment horizontal="center" readingOrder="0" vertical="center"/>
    </xf>
    <xf borderId="10" fillId="30" fontId="24" numFmtId="0" xfId="0" applyAlignment="1" applyBorder="1" applyFont="1">
      <alignment horizontal="center" readingOrder="0" vertical="center"/>
    </xf>
    <xf borderId="12" fillId="2" fontId="1" numFmtId="1" xfId="0" applyAlignment="1" applyBorder="1" applyFont="1" applyNumberFormat="1">
      <alignment horizontal="left" readingOrder="0"/>
    </xf>
    <xf borderId="9" fillId="9" fontId="6" numFmtId="0" xfId="0" applyAlignment="1" applyBorder="1" applyFont="1">
      <alignment horizontal="left" readingOrder="0" vertical="center"/>
    </xf>
    <xf borderId="10" fillId="9" fontId="6" numFmtId="0" xfId="0" applyAlignment="1" applyBorder="1" applyFont="1">
      <alignment horizontal="center" readingOrder="0" vertical="center"/>
    </xf>
    <xf borderId="15" fillId="7" fontId="7" numFmtId="0" xfId="0" applyAlignment="1" applyBorder="1" applyFont="1">
      <alignment horizontal="left" readingOrder="0"/>
    </xf>
    <xf borderId="33" fillId="0" fontId="9" numFmtId="4" xfId="0" applyAlignment="1" applyBorder="1" applyFont="1" applyNumberFormat="1">
      <alignment horizontal="left" readingOrder="0" vertical="center"/>
    </xf>
    <xf borderId="15" fillId="0" fontId="9" numFmtId="4" xfId="0" applyAlignment="1" applyBorder="1" applyFont="1" applyNumberFormat="1">
      <alignment horizontal="center" readingOrder="0" vertical="center"/>
    </xf>
    <xf borderId="7" fillId="0" fontId="9" numFmtId="4" xfId="0" applyAlignment="1" applyBorder="1" applyFont="1" applyNumberFormat="1">
      <alignment horizontal="center" readingOrder="0" vertical="center"/>
    </xf>
    <xf borderId="1" fillId="2" fontId="25" numFmtId="1" xfId="0" applyAlignment="1" applyBorder="1" applyFont="1" applyNumberFormat="1">
      <alignment horizontal="left" readingOrder="0" shrinkToFit="0" vertical="center" wrapText="1"/>
    </xf>
    <xf borderId="1" fillId="2" fontId="25" numFmtId="1" xfId="0" applyAlignment="1" applyBorder="1" applyFont="1" applyNumberFormat="1">
      <alignment horizontal="left" readingOrder="0" vertical="center"/>
    </xf>
    <xf borderId="13" fillId="2" fontId="25" numFmtId="1" xfId="0" applyAlignment="1" applyBorder="1" applyFont="1" applyNumberFormat="1">
      <alignment horizontal="left" readingOrder="0" vertical="center"/>
    </xf>
    <xf borderId="12" fillId="2" fontId="25" numFmtId="1" xfId="0" applyAlignment="1" applyBorder="1" applyFont="1" applyNumberFormat="1">
      <alignment horizontal="left" readingOrder="0" vertical="center"/>
    </xf>
    <xf borderId="27" fillId="16" fontId="6" numFmtId="0" xfId="0" applyAlignment="1" applyBorder="1" applyFont="1">
      <alignment horizontal="center" readingOrder="0" vertical="center"/>
    </xf>
    <xf borderId="34" fillId="16" fontId="6" numFmtId="0" xfId="0" applyAlignment="1" applyBorder="1" applyFont="1">
      <alignment horizontal="center" readingOrder="0" vertical="center"/>
    </xf>
    <xf borderId="3" fillId="16" fontId="6" numFmtId="0" xfId="0" applyAlignment="1" applyBorder="1" applyFont="1">
      <alignment horizontal="center" readingOrder="0" vertical="center"/>
    </xf>
    <xf borderId="28" fillId="16" fontId="6" numFmtId="0" xfId="0" applyAlignment="1" applyBorder="1" applyFont="1">
      <alignment horizontal="center" readingOrder="0" vertical="center"/>
    </xf>
    <xf borderId="29" fillId="16" fontId="6" numFmtId="0" xfId="0" applyAlignment="1" applyBorder="1" applyFont="1">
      <alignment horizontal="center" readingOrder="0" vertical="center"/>
    </xf>
    <xf borderId="35" fillId="2" fontId="1" numFmtId="1" xfId="0" applyAlignment="1" applyBorder="1" applyFont="1" applyNumberFormat="1">
      <alignment horizontal="center" readingOrder="0" shrinkToFit="0" vertical="center" wrapText="1"/>
    </xf>
    <xf borderId="35" fillId="2" fontId="1" numFmtId="9" xfId="0" applyAlignment="1" applyBorder="1" applyFont="1" applyNumberFormat="1">
      <alignment horizontal="center" readingOrder="0" vertical="center"/>
    </xf>
    <xf borderId="36" fillId="2" fontId="1" numFmtId="9" xfId="0" applyAlignment="1" applyBorder="1" applyFont="1" applyNumberFormat="1">
      <alignment horizontal="center" readingOrder="0" vertical="center"/>
    </xf>
    <xf borderId="37" fillId="2" fontId="1" numFmtId="9" xfId="0" applyAlignment="1" applyBorder="1" applyFont="1" applyNumberFormat="1">
      <alignment horizontal="center" readingOrder="0" vertical="center"/>
    </xf>
    <xf borderId="38" fillId="25" fontId="26" numFmtId="1" xfId="0" applyAlignment="1" applyBorder="1" applyFont="1" applyNumberFormat="1">
      <alignment horizontal="center" readingOrder="0" shrinkToFit="0" vertical="center" wrapText="1"/>
    </xf>
    <xf borderId="39" fillId="25" fontId="26" numFmtId="9" xfId="0" applyAlignment="1" applyBorder="1" applyFont="1" applyNumberFormat="1">
      <alignment horizontal="center" readingOrder="0" vertical="center"/>
    </xf>
    <xf borderId="40" fillId="25" fontId="26" numFmtId="9" xfId="0" applyAlignment="1" applyBorder="1" applyFont="1" applyNumberFormat="1">
      <alignment horizontal="center" readingOrder="0" vertical="center"/>
    </xf>
    <xf borderId="41" fillId="25" fontId="26" numFmtId="9" xfId="0" applyAlignment="1" applyBorder="1" applyFont="1" applyNumberFormat="1">
      <alignment horizontal="center" readingOrder="0" vertical="center"/>
    </xf>
    <xf borderId="42" fillId="25" fontId="26" numFmtId="9" xfId="0" applyAlignment="1" applyBorder="1" applyFont="1" applyNumberFormat="1">
      <alignment horizontal="center" readingOrder="0" vertical="center"/>
    </xf>
    <xf borderId="6" fillId="2" fontId="1" numFmtId="1" xfId="0" applyAlignment="1" applyBorder="1" applyFont="1" applyNumberFormat="1">
      <alignment horizontal="center" readingOrder="0" shrinkToFit="0" vertical="center" wrapText="1"/>
    </xf>
    <xf borderId="6" fillId="2" fontId="1" numFmtId="9" xfId="0" applyAlignment="1" applyBorder="1" applyFont="1" applyNumberFormat="1">
      <alignment horizontal="center" readingOrder="0" vertical="center"/>
    </xf>
    <xf borderId="43" fillId="2" fontId="1" numFmtId="9" xfId="0" applyAlignment="1" applyBorder="1" applyFont="1" applyNumberFormat="1">
      <alignment horizontal="center" readingOrder="0" vertical="center"/>
    </xf>
    <xf borderId="31" fillId="2" fontId="1" numFmtId="9" xfId="0" applyAlignment="1" applyBorder="1" applyFont="1" applyNumberFormat="1">
      <alignment horizontal="center" readingOrder="0" vertical="center"/>
    </xf>
    <xf borderId="1" fillId="2" fontId="8" numFmtId="1" xfId="0" applyAlignment="1" applyBorder="1" applyFont="1" applyNumberFormat="1">
      <alignment horizontal="center" readingOrder="0" shrinkToFit="0" vertical="center" wrapText="1"/>
    </xf>
    <xf borderId="1" fillId="2" fontId="8" numFmtId="9" xfId="0" applyAlignment="1" applyBorder="1" applyFont="1" applyNumberFormat="1">
      <alignment horizontal="center" readingOrder="0" vertical="center"/>
    </xf>
    <xf borderId="13" fillId="2" fontId="8" numFmtId="9" xfId="0" applyAlignment="1" applyBorder="1" applyFont="1" applyNumberFormat="1">
      <alignment horizontal="center" readingOrder="0" vertical="center"/>
    </xf>
    <xf borderId="12" fillId="2" fontId="8" numFmtId="9" xfId="0" applyAlignment="1" applyBorder="1" applyFont="1" applyNumberFormat="1">
      <alignment horizontal="center" readingOrder="0" vertical="center"/>
    </xf>
    <xf borderId="32" fillId="19" fontId="6" numFmtId="0" xfId="0" applyAlignment="1" applyBorder="1" applyFont="1">
      <alignment horizontal="left" readingOrder="0" vertical="center"/>
    </xf>
    <xf borderId="9" fillId="19" fontId="6" numFmtId="0" xfId="0" applyAlignment="1" applyBorder="1" applyFont="1">
      <alignment horizontal="left" readingOrder="0" vertical="center"/>
    </xf>
    <xf borderId="10" fillId="19" fontId="6" numFmtId="0" xfId="0" applyAlignment="1" applyBorder="1" applyFont="1">
      <alignment horizontal="center" readingOrder="0" vertical="center"/>
    </xf>
    <xf borderId="1" fillId="2" fontId="2" numFmtId="1" xfId="0" applyAlignment="1" applyBorder="1" applyFont="1" applyNumberFormat="1">
      <alignment horizontal="left" readingOrder="0" vertical="center"/>
    </xf>
    <xf borderId="1" fillId="2" fontId="2" numFmtId="1" xfId="0" applyAlignment="1" applyBorder="1" applyFont="1" applyNumberFormat="1">
      <alignment horizontal="center" readingOrder="0" vertical="center"/>
    </xf>
    <xf borderId="13" fillId="2" fontId="2" numFmtId="1" xfId="0" applyAlignment="1" applyBorder="1" applyFont="1" applyNumberFormat="1">
      <alignment horizontal="left" readingOrder="0" vertical="center"/>
    </xf>
    <xf borderId="12" fillId="2" fontId="2" numFmtId="1" xfId="0" applyAlignment="1" applyBorder="1" applyFont="1" applyNumberFormat="1">
      <alignment horizontal="center" readingOrder="0" vertical="center"/>
    </xf>
    <xf borderId="32" fillId="9" fontId="6" numFmtId="0" xfId="0" applyAlignment="1" applyBorder="1" applyFont="1">
      <alignment horizontal="left" readingOrder="0" vertical="center"/>
    </xf>
    <xf borderId="2" fillId="9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left" readingOrder="0" vertical="center"/>
    </xf>
    <xf borderId="10" fillId="3" fontId="6" numFmtId="0" xfId="0" applyAlignment="1" applyBorder="1" applyFont="1">
      <alignment horizontal="center" readingOrder="0" vertical="center"/>
    </xf>
    <xf borderId="2" fillId="8" fontId="6" numFmtId="0" xfId="0" applyAlignment="1" applyBorder="1" applyFont="1">
      <alignment horizontal="center" readingOrder="0" vertical="center"/>
    </xf>
    <xf borderId="2" fillId="28" fontId="6" numFmtId="0" xfId="0" applyAlignment="1" applyBorder="1" applyFont="1">
      <alignment horizontal="center" readingOrder="0" vertical="center"/>
    </xf>
    <xf borderId="9" fillId="14" fontId="6" numFmtId="0" xfId="0" applyAlignment="1" applyBorder="1" applyFont="1">
      <alignment horizontal="left" readingOrder="0" vertical="center"/>
    </xf>
    <xf borderId="10" fillId="14" fontId="6" numFmtId="0" xfId="0" applyAlignment="1" applyBorder="1" applyFont="1">
      <alignment horizontal="center" readingOrder="0" vertical="center"/>
    </xf>
    <xf borderId="1" fillId="2" fontId="1" numFmtId="1" xfId="0" applyAlignment="1" applyBorder="1" applyFont="1" applyNumberFormat="1">
      <alignment horizontal="left" readingOrder="0" shrinkToFit="0" wrapText="1"/>
    </xf>
    <xf borderId="13" fillId="2" fontId="1" numFmtId="1" xfId="0" applyAlignment="1" applyBorder="1" applyFont="1" applyNumberFormat="1">
      <alignment horizontal="left"/>
    </xf>
    <xf borderId="12" fillId="2" fontId="1" numFmtId="1" xfId="0" applyAlignment="1" applyBorder="1" applyFont="1" applyNumberFormat="1">
      <alignment horizontal="left"/>
    </xf>
    <xf borderId="8" fillId="3" fontId="4" numFmtId="1" xfId="0" applyAlignment="1" applyBorder="1" applyFont="1" applyNumberFormat="1">
      <alignment horizontal="center" readingOrder="0" vertical="center"/>
    </xf>
    <xf borderId="11" fillId="6" fontId="5" numFmtId="1" xfId="0" applyAlignment="1" applyBorder="1" applyFont="1" applyNumberFormat="1">
      <alignment horizontal="center" readingOrder="0" vertical="center"/>
    </xf>
    <xf borderId="9" fillId="7" fontId="5" numFmtId="1" xfId="0" applyAlignment="1" applyBorder="1" applyFont="1" applyNumberFormat="1">
      <alignment horizontal="center" readingOrder="0" vertical="center"/>
    </xf>
    <xf borderId="10" fillId="7" fontId="4" numFmtId="1" xfId="0" applyAlignment="1" applyBorder="1" applyFont="1" applyNumberFormat="1">
      <alignment horizontal="center" readingOrder="0" vertical="center"/>
    </xf>
    <xf borderId="9" fillId="9" fontId="4" numFmtId="1" xfId="0" applyAlignment="1" applyBorder="1" applyFont="1" applyNumberFormat="1">
      <alignment horizontal="center" readingOrder="0" vertical="center"/>
    </xf>
    <xf borderId="16" fillId="4" fontId="13" numFmtId="0" xfId="0" applyAlignment="1" applyBorder="1" applyFont="1">
      <alignment horizontal="center" readingOrder="0" vertical="bottom"/>
    </xf>
    <xf borderId="16" fillId="12" fontId="13" numFmtId="0" xfId="0" applyAlignment="1" applyBorder="1" applyFont="1">
      <alignment horizontal="center" readingOrder="0" vertical="bottom"/>
    </xf>
    <xf borderId="8" fillId="31" fontId="6" numFmtId="0" xfId="0" applyAlignment="1" applyBorder="1" applyFill="1" applyFont="1">
      <alignment horizontal="center" readingOrder="0" vertical="center"/>
    </xf>
    <xf borderId="11" fillId="31" fontId="6" numFmtId="0" xfId="0" applyAlignment="1" applyBorder="1" applyFont="1">
      <alignment horizontal="center" readingOrder="0" vertical="center"/>
    </xf>
    <xf borderId="9" fillId="31" fontId="6" numFmtId="0" xfId="0" applyAlignment="1" applyBorder="1" applyFont="1">
      <alignment horizontal="center" readingOrder="0" vertical="center"/>
    </xf>
    <xf borderId="10" fillId="31" fontId="6" numFmtId="0" xfId="0" applyAlignment="1" applyBorder="1" applyFont="1">
      <alignment horizontal="center" readingOrder="0" vertical="center"/>
    </xf>
    <xf borderId="10" fillId="24" fontId="27" numFmtId="0" xfId="0" applyAlignment="1" applyBorder="1" applyFont="1">
      <alignment horizontal="center" readingOrder="0" vertical="center"/>
    </xf>
    <xf borderId="10" fillId="3" fontId="4" numFmtId="1" xfId="0" applyAlignment="1" applyBorder="1" applyFont="1" applyNumberFormat="1">
      <alignment horizontal="center" readingOrder="0" vertical="center"/>
    </xf>
    <xf borderId="10" fillId="27" fontId="6" numFmtId="0" xfId="0" applyAlignment="1" applyBorder="1" applyFont="1">
      <alignment horizontal="center" readingOrder="0" vertical="center"/>
    </xf>
    <xf borderId="10" fillId="29" fontId="6" numFmtId="0" xfId="0" applyAlignment="1" applyBorder="1" applyFont="1">
      <alignment horizontal="center" readingOrder="0" vertical="center"/>
    </xf>
    <xf borderId="2" fillId="30" fontId="6" numFmtId="0" xfId="0" applyAlignment="1" applyBorder="1" applyFont="1">
      <alignment horizontal="center" readingOrder="0" vertical="center"/>
    </xf>
    <xf borderId="9" fillId="30" fontId="7" numFmtId="0" xfId="0" applyAlignment="1" applyBorder="1" applyFont="1">
      <alignment horizontal="left" readingOrder="0"/>
    </xf>
    <xf borderId="2" fillId="30" fontId="7" numFmtId="0" xfId="0" applyAlignment="1" applyBorder="1" applyFont="1">
      <alignment horizontal="center" readingOrder="0"/>
    </xf>
    <xf borderId="9" fillId="6" fontId="6" numFmtId="0" xfId="0" applyAlignment="1" applyBorder="1" applyFont="1">
      <alignment horizontal="left" readingOrder="0" vertical="center"/>
    </xf>
    <xf borderId="13" fillId="2" fontId="1" numFmtId="1" xfId="0" applyAlignment="1" applyBorder="1" applyFont="1" applyNumberFormat="1">
      <alignment horizontal="left" readingOrder="0"/>
    </xf>
    <xf borderId="8" fillId="3" fontId="3" numFmtId="1" xfId="0" applyAlignment="1" applyBorder="1" applyFont="1" applyNumberFormat="1">
      <alignment horizontal="center" readingOrder="0" vertical="center"/>
    </xf>
    <xf borderId="9" fillId="4" fontId="2" numFmtId="1" xfId="0" applyAlignment="1" applyBorder="1" applyFont="1" applyNumberFormat="1">
      <alignment horizontal="center" readingOrder="0" vertical="center"/>
    </xf>
    <xf borderId="10" fillId="4" fontId="3" numFmtId="1" xfId="0" applyAlignment="1" applyBorder="1" applyFont="1" applyNumberFormat="1">
      <alignment horizontal="center" readingOrder="0" vertical="center"/>
    </xf>
    <xf borderId="11" fillId="6" fontId="3" numFmtId="1" xfId="0" applyAlignment="1" applyBorder="1" applyFont="1" applyNumberFormat="1">
      <alignment horizontal="center" readingOrder="0" vertical="center"/>
    </xf>
    <xf borderId="11" fillId="8" fontId="2" numFmtId="1" xfId="0" applyAlignment="1" applyBorder="1" applyFont="1" applyNumberFormat="1">
      <alignment horizontal="center" readingOrder="0" vertical="center"/>
    </xf>
    <xf borderId="9" fillId="9" fontId="5" numFmtId="1" xfId="0" applyAlignment="1" applyBorder="1" applyFont="1" applyNumberFormat="1">
      <alignment horizontal="center" readingOrder="0" vertical="center"/>
    </xf>
    <xf borderId="9" fillId="11" fontId="4" numFmtId="1" xfId="0" applyAlignment="1" applyBorder="1" applyFont="1" applyNumberFormat="1">
      <alignment horizontal="center" readingOrder="0" vertical="center"/>
    </xf>
    <xf borderId="14" fillId="2" fontId="1" numFmtId="1" xfId="0" applyAlignment="1" applyBorder="1" applyFont="1" applyNumberFormat="1">
      <alignment horizontal="left" readingOrder="0" vertical="bottom"/>
    </xf>
    <xf borderId="15" fillId="11" fontId="13" numFmtId="9" xfId="0" applyAlignment="1" applyBorder="1" applyFont="1" applyNumberFormat="1">
      <alignment horizontal="center" readingOrder="0"/>
    </xf>
    <xf borderId="16" fillId="11" fontId="13" numFmtId="9" xfId="0" applyAlignment="1" applyBorder="1" applyFont="1" applyNumberFormat="1">
      <alignment horizontal="center" readingOrder="0"/>
    </xf>
    <xf borderId="0" fillId="11" fontId="13" numFmtId="9" xfId="0" applyAlignment="1" applyFont="1" applyNumberFormat="1">
      <alignment horizontal="center" readingOrder="0"/>
    </xf>
    <xf borderId="0" fillId="4" fontId="13" numFmtId="0" xfId="0" applyAlignment="1" applyFont="1">
      <alignment horizontal="center" readingOrder="0" vertical="bottom"/>
    </xf>
    <xf borderId="15" fillId="4" fontId="13" numFmtId="0" xfId="0" applyAlignment="1" applyBorder="1" applyFont="1">
      <alignment horizontal="center" readingOrder="0" vertical="bottom"/>
    </xf>
    <xf borderId="15" fillId="12" fontId="13" numFmtId="0" xfId="0" applyAlignment="1" applyBorder="1" applyFont="1">
      <alignment horizontal="center" readingOrder="0" vertical="bottom"/>
    </xf>
    <xf borderId="0" fillId="12" fontId="13" numFmtId="0" xfId="0" applyAlignment="1" applyFont="1">
      <alignment horizontal="center" readingOrder="0" vertical="bottom"/>
    </xf>
    <xf borderId="8" fillId="32" fontId="6" numFmtId="0" xfId="0" applyAlignment="1" applyBorder="1" applyFill="1" applyFont="1">
      <alignment horizontal="center" readingOrder="0" vertical="center"/>
    </xf>
    <xf borderId="9" fillId="32" fontId="6" numFmtId="0" xfId="0" applyAlignment="1" applyBorder="1" applyFont="1">
      <alignment horizontal="center" readingOrder="0" vertical="center"/>
    </xf>
    <xf borderId="2" fillId="32" fontId="6" numFmtId="0" xfId="0" applyAlignment="1" applyBorder="1" applyFont="1">
      <alignment horizontal="center" readingOrder="0" vertical="center"/>
    </xf>
    <xf borderId="10" fillId="32" fontId="6" numFmtId="0" xfId="0" applyAlignment="1" applyBorder="1" applyFont="1">
      <alignment horizontal="center" readingOrder="0" vertical="center"/>
    </xf>
    <xf borderId="11" fillId="32" fontId="6" numFmtId="0" xfId="0" applyAlignment="1" applyBorder="1" applyFont="1">
      <alignment horizontal="center" readingOrder="0" vertical="center"/>
    </xf>
    <xf borderId="11" fillId="24" fontId="20" numFmtId="0" xfId="0" applyAlignment="1" applyBorder="1" applyFont="1">
      <alignment horizontal="center" readingOrder="0" vertical="center"/>
    </xf>
    <xf borderId="10" fillId="8" fontId="2" numFmtId="1" xfId="0" applyAlignment="1" applyBorder="1" applyFont="1" applyNumberFormat="1">
      <alignment horizontal="center" readingOrder="0" vertical="center"/>
    </xf>
    <xf borderId="9" fillId="11" fontId="6" numFmtId="0" xfId="0" applyAlignment="1" applyBorder="1" applyFont="1">
      <alignment horizontal="left" readingOrder="0" vertical="center"/>
    </xf>
    <xf borderId="2" fillId="11" fontId="6" numFmtId="0" xfId="0" applyAlignment="1" applyBorder="1" applyFont="1">
      <alignment horizontal="center" readingOrder="0" vertical="center"/>
    </xf>
    <xf borderId="2" fillId="4" fontId="24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left" readingOrder="0" vertical="center"/>
    </xf>
    <xf borderId="2" fillId="7" fontId="7" numFmtId="0" xfId="0" applyAlignment="1" applyBorder="1" applyFont="1">
      <alignment horizontal="center" readingOrder="0" vertical="center"/>
    </xf>
    <xf borderId="10" fillId="7" fontId="7" numFmtId="0" xfId="0" applyAlignment="1" applyBorder="1" applyFont="1">
      <alignment horizontal="center" readingOrder="0" vertical="center"/>
    </xf>
    <xf borderId="1" fillId="2" fontId="1" numFmtId="1" xfId="0" applyAlignment="1" applyBorder="1" applyFont="1" applyNumberFormat="1">
      <alignment horizontal="left" readingOrder="0"/>
    </xf>
    <xf borderId="9" fillId="6" fontId="4" numFmtId="1" xfId="0" applyAlignment="1" applyBorder="1" applyFont="1" applyNumberFormat="1">
      <alignment horizontal="center" readingOrder="0" vertical="center"/>
    </xf>
    <xf borderId="8" fillId="24" fontId="28" numFmtId="0" xfId="0" applyAlignment="1" applyBorder="1" applyFont="1">
      <alignment horizontal="center" readingOrder="0" vertical="center"/>
    </xf>
    <xf borderId="10" fillId="6" fontId="4" numFmtId="1" xfId="0" applyAlignment="1" applyBorder="1" applyFont="1" applyNumberFormat="1">
      <alignment horizontal="center" readingOrder="0" vertical="center"/>
    </xf>
    <xf borderId="10" fillId="30" fontId="7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209550</xdr:rowOff>
    </xdr:from>
    <xdr:ext cx="9525" cy="9525"/>
    <xdr:sp>
      <xdr:nvSpPr>
        <xdr:cNvPr id="3" name="Shape 3"/>
        <xdr:cNvSpPr txBox="1"/>
      </xdr:nvSpPr>
      <xdr:spPr>
        <a:xfrm>
          <a:off x="340925" y="204550"/>
          <a:ext cx="1684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6</a:t>
          </a:r>
          <a:r>
            <a:rPr b="1" lang="en-US" sz="1400"/>
            <a:t>. Get report data</a:t>
          </a:r>
          <a:endParaRPr b="1" sz="1400"/>
        </a:p>
      </xdr:txBody>
    </xdr:sp>
    <xdr:clientData fLocksWithSheet="0"/>
  </xdr:oneCellAnchor>
  <xdr:oneCellAnchor>
    <xdr:from>
      <xdr:col>0</xdr:col>
      <xdr:colOff>2571750</xdr:colOff>
      <xdr:row>0</xdr:row>
      <xdr:rowOff>285750</xdr:rowOff>
    </xdr:from>
    <xdr:ext cx="9525" cy="9525"/>
    <xdr:sp>
      <xdr:nvSpPr>
        <xdr:cNvPr id="4" name="Shape 4"/>
        <xdr:cNvSpPr/>
      </xdr:nvSpPr>
      <xdr:spPr>
        <a:xfrm>
          <a:off x="457150" y="376625"/>
          <a:ext cx="906000" cy="194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hide header</a:t>
          </a:r>
          <a:endParaRPr sz="600"/>
        </a:p>
      </xdr:txBody>
    </xdr:sp>
    <xdr:clientData fLocksWithSheet="0"/>
  </xdr:oneCellAnchor>
  <xdr:oneCellAnchor>
    <xdr:from>
      <xdr:col>0</xdr:col>
      <xdr:colOff>123825</xdr:colOff>
      <xdr:row>0</xdr:row>
      <xdr:rowOff>180975</xdr:rowOff>
    </xdr:from>
    <xdr:ext cx="9525" cy="9525"/>
    <xdr:sp>
      <xdr:nvSpPr>
        <xdr:cNvPr id="5" name="Shape 5"/>
        <xdr:cNvSpPr txBox="1"/>
      </xdr:nvSpPr>
      <xdr:spPr>
        <a:xfrm>
          <a:off x="311700" y="194800"/>
          <a:ext cx="1690500" cy="40920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7</a:t>
          </a:r>
          <a:r>
            <a:rPr b="1" lang="en-US" sz="1400"/>
            <a:t>. Export roles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26" width="9.38"/>
    <col customWidth="1" min="27" max="29" width="6.38"/>
  </cols>
  <sheetData>
    <row r="1" ht="19.5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  <c r="L1" s="11" t="s">
        <v>10</v>
      </c>
      <c r="M1" s="12" t="s">
        <v>11</v>
      </c>
      <c r="N1" s="13" t="s">
        <v>12</v>
      </c>
      <c r="O1" s="14" t="s">
        <v>13</v>
      </c>
      <c r="P1" s="15" t="s">
        <v>14</v>
      </c>
      <c r="Q1" s="16" t="s">
        <v>15</v>
      </c>
      <c r="R1" s="17" t="s">
        <v>16</v>
      </c>
      <c r="S1" s="18" t="s">
        <v>17</v>
      </c>
      <c r="T1" s="18" t="s">
        <v>18</v>
      </c>
      <c r="U1" s="19" t="s">
        <v>19</v>
      </c>
      <c r="V1" s="20" t="s">
        <v>20</v>
      </c>
      <c r="W1" s="20" t="s">
        <v>21</v>
      </c>
      <c r="X1" s="20" t="s">
        <v>22</v>
      </c>
      <c r="Y1" s="21" t="s">
        <v>23</v>
      </c>
      <c r="Z1" s="22" t="s">
        <v>24</v>
      </c>
      <c r="AA1" s="23"/>
      <c r="AB1" s="23"/>
      <c r="AC1" s="23"/>
    </row>
    <row r="2">
      <c r="A2" s="24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>
      <c r="A3" s="25" t="s">
        <v>26</v>
      </c>
      <c r="B3" s="26"/>
      <c r="C3" s="26">
        <v>1.0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>
        <v>12.0</v>
      </c>
      <c r="T3" s="26">
        <v>20.0</v>
      </c>
      <c r="U3" s="26"/>
      <c r="V3" s="26"/>
      <c r="W3" s="26"/>
      <c r="X3" s="26"/>
      <c r="Y3" s="26"/>
      <c r="Z3" s="26"/>
      <c r="AA3" s="23"/>
      <c r="AB3" s="23"/>
      <c r="AC3" s="23"/>
    </row>
    <row r="4">
      <c r="A4" s="25" t="s">
        <v>27</v>
      </c>
      <c r="B4" s="27"/>
      <c r="C4" s="27"/>
      <c r="D4" s="27"/>
      <c r="E4" s="27"/>
      <c r="F4" s="27"/>
      <c r="G4" s="27"/>
      <c r="H4" s="27"/>
      <c r="I4" s="27"/>
      <c r="J4" s="27"/>
      <c r="K4" s="27">
        <v>1.0</v>
      </c>
      <c r="L4" s="27"/>
      <c r="M4" s="27"/>
      <c r="N4" s="27"/>
      <c r="O4" s="27"/>
      <c r="P4" s="27"/>
      <c r="Q4" s="27">
        <v>1.0</v>
      </c>
      <c r="R4" s="27"/>
      <c r="S4" s="27">
        <v>8.0</v>
      </c>
      <c r="T4" s="27"/>
      <c r="U4" s="27"/>
      <c r="V4" s="27"/>
      <c r="W4" s="27"/>
      <c r="X4" s="27"/>
      <c r="Y4" s="27">
        <v>5.0</v>
      </c>
      <c r="Z4" s="27"/>
      <c r="AA4" s="28"/>
      <c r="AB4" s="28"/>
      <c r="AC4" s="29"/>
    </row>
    <row r="5">
      <c r="A5" s="25" t="s">
        <v>28</v>
      </c>
      <c r="B5" s="30"/>
      <c r="C5" s="30"/>
      <c r="D5" s="30">
        <v>6.0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>
        <v>12.0</v>
      </c>
      <c r="U5" s="30">
        <v>11.0</v>
      </c>
      <c r="V5" s="30">
        <v>13.0</v>
      </c>
      <c r="W5" s="30">
        <v>17.0</v>
      </c>
      <c r="X5" s="30"/>
      <c r="Y5" s="30"/>
      <c r="Z5" s="30"/>
      <c r="AA5" s="28"/>
      <c r="AB5" s="28"/>
      <c r="AC5" s="29"/>
    </row>
    <row r="6">
      <c r="A6" s="25" t="s">
        <v>29</v>
      </c>
      <c r="B6" s="30">
        <v>3.0</v>
      </c>
      <c r="C6" s="30"/>
      <c r="D6" s="30"/>
      <c r="E6" s="30"/>
      <c r="F6" s="30">
        <v>10.0</v>
      </c>
      <c r="G6" s="30">
        <v>5.0</v>
      </c>
      <c r="H6" s="30">
        <v>3.0</v>
      </c>
      <c r="I6" s="30"/>
      <c r="J6" s="30"/>
      <c r="K6" s="30"/>
      <c r="L6" s="30"/>
      <c r="M6" s="30">
        <v>5.0</v>
      </c>
      <c r="N6" s="30"/>
      <c r="O6" s="30"/>
      <c r="P6" s="30">
        <v>11.0</v>
      </c>
      <c r="Q6" s="30">
        <v>4.0</v>
      </c>
      <c r="R6" s="30"/>
      <c r="S6" s="30">
        <v>9.0</v>
      </c>
      <c r="T6" s="30"/>
      <c r="U6" s="30"/>
      <c r="V6" s="30"/>
      <c r="W6" s="30"/>
      <c r="X6" s="30"/>
      <c r="Y6" s="30">
        <v>16.0</v>
      </c>
      <c r="Z6" s="30">
        <v>18.0</v>
      </c>
      <c r="AA6" s="23"/>
      <c r="AB6" s="23"/>
      <c r="AC6" s="29"/>
    </row>
    <row r="7">
      <c r="A7" s="25" t="s">
        <v>30</v>
      </c>
      <c r="B7" s="30"/>
      <c r="C7" s="30"/>
      <c r="D7" s="30"/>
      <c r="E7" s="30"/>
      <c r="F7" s="30"/>
      <c r="G7" s="30"/>
      <c r="H7" s="30"/>
      <c r="I7" s="30"/>
      <c r="J7" s="30"/>
      <c r="K7" s="30">
        <v>10.0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29"/>
      <c r="AB7" s="29"/>
      <c r="AC7" s="29"/>
    </row>
    <row r="8">
      <c r="A8" s="25" t="s">
        <v>31</v>
      </c>
      <c r="B8" s="31">
        <v>1.0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>
        <v>1.0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29"/>
      <c r="AB8" s="29"/>
      <c r="AC8" s="29"/>
    </row>
    <row r="9">
      <c r="A9" s="25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1.0</v>
      </c>
      <c r="T9" s="31"/>
      <c r="U9" s="31"/>
      <c r="V9" s="31"/>
      <c r="W9" s="31"/>
      <c r="X9" s="31"/>
      <c r="Y9" s="31">
        <v>1.0</v>
      </c>
      <c r="Z9" s="31"/>
      <c r="AA9" s="29"/>
      <c r="AB9" s="29"/>
      <c r="AC9" s="29"/>
    </row>
    <row r="10">
      <c r="A10" s="25" t="s">
        <v>33</v>
      </c>
      <c r="B10" s="31"/>
      <c r="C10" s="31"/>
      <c r="D10" s="31"/>
      <c r="E10" s="31"/>
      <c r="F10" s="31"/>
      <c r="G10" s="31"/>
      <c r="H10" s="31">
        <v>1.0</v>
      </c>
      <c r="I10" s="31">
        <v>1.0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29"/>
      <c r="AB10" s="29"/>
      <c r="AC10" s="29"/>
    </row>
    <row r="11">
      <c r="A11" s="25" t="s">
        <v>34</v>
      </c>
      <c r="B11" s="31"/>
      <c r="C11" s="31">
        <v>2.0</v>
      </c>
      <c r="D11" s="31">
        <v>13.0</v>
      </c>
      <c r="E11" s="31">
        <v>7.0</v>
      </c>
      <c r="F11" s="31">
        <v>2.0</v>
      </c>
      <c r="G11" s="31">
        <v>8.0</v>
      </c>
      <c r="H11" s="31">
        <v>8.0</v>
      </c>
      <c r="I11" s="31">
        <v>7.0</v>
      </c>
      <c r="J11" s="31">
        <v>15.0</v>
      </c>
      <c r="K11" s="31">
        <v>1.0</v>
      </c>
      <c r="L11" s="31">
        <v>11.0</v>
      </c>
      <c r="M11" s="31">
        <v>7.0</v>
      </c>
      <c r="N11" s="31">
        <v>22.0</v>
      </c>
      <c r="O11" s="31">
        <v>11.0</v>
      </c>
      <c r="P11" s="31"/>
      <c r="Q11" s="31">
        <v>1.0</v>
      </c>
      <c r="R11" s="31">
        <v>4.0</v>
      </c>
      <c r="S11" s="31"/>
      <c r="T11" s="31">
        <v>6.0</v>
      </c>
      <c r="U11" s="31">
        <v>4.0</v>
      </c>
      <c r="V11" s="31"/>
      <c r="W11" s="31"/>
      <c r="X11" s="31">
        <v>14.0</v>
      </c>
      <c r="Y11" s="31"/>
      <c r="Z11" s="31"/>
      <c r="AA11" s="29"/>
      <c r="AB11" s="29"/>
      <c r="AC11" s="29"/>
    </row>
    <row r="12">
      <c r="A12" s="25" t="s">
        <v>35</v>
      </c>
      <c r="B12" s="32"/>
      <c r="C12" s="32"/>
      <c r="D12" s="32"/>
      <c r="E12" s="32"/>
      <c r="F12" s="32"/>
      <c r="G12" s="32"/>
      <c r="H12" s="32">
        <v>11.0</v>
      </c>
      <c r="I12" s="32"/>
      <c r="J12" s="32"/>
      <c r="K12" s="32">
        <v>1.0</v>
      </c>
      <c r="L12" s="32"/>
      <c r="M12" s="32"/>
      <c r="N12" s="32"/>
      <c r="O12" s="32">
        <v>4.0</v>
      </c>
      <c r="P12" s="32"/>
      <c r="Q12" s="32"/>
      <c r="R12" s="32"/>
      <c r="S12" s="32"/>
      <c r="T12" s="32">
        <v>9.0</v>
      </c>
      <c r="U12" s="32"/>
      <c r="V12" s="32"/>
      <c r="W12" s="32">
        <v>1.0</v>
      </c>
      <c r="X12" s="32"/>
      <c r="Y12" s="32"/>
      <c r="Z12" s="32"/>
      <c r="AA12" s="29"/>
      <c r="AB12" s="29"/>
      <c r="AC12" s="29"/>
    </row>
    <row r="13">
      <c r="A13" s="25" t="s">
        <v>36</v>
      </c>
      <c r="B13" s="32"/>
      <c r="C13" s="32"/>
      <c r="D13" s="32">
        <v>1.0</v>
      </c>
      <c r="E13" s="32">
        <v>4.0</v>
      </c>
      <c r="F13" s="32">
        <v>3.0</v>
      </c>
      <c r="G13" s="32"/>
      <c r="H13" s="32">
        <v>1.0</v>
      </c>
      <c r="I13" s="32"/>
      <c r="J13" s="32"/>
      <c r="K13" s="32">
        <v>2.0</v>
      </c>
      <c r="L13" s="32"/>
      <c r="M13" s="32">
        <v>1.0</v>
      </c>
      <c r="N13" s="32"/>
      <c r="O13" s="32"/>
      <c r="P13" s="32">
        <v>1.0</v>
      </c>
      <c r="Q13" s="32"/>
      <c r="R13" s="32">
        <v>4.0</v>
      </c>
      <c r="S13" s="32">
        <v>1.0</v>
      </c>
      <c r="T13" s="32">
        <v>2.0</v>
      </c>
      <c r="U13" s="32">
        <v>3.0</v>
      </c>
      <c r="V13" s="32">
        <v>4.0</v>
      </c>
      <c r="W13" s="32"/>
      <c r="X13" s="32">
        <v>5.0</v>
      </c>
      <c r="Y13" s="32">
        <v>4.0</v>
      </c>
      <c r="Z13" s="32">
        <v>3.0</v>
      </c>
      <c r="AA13" s="29"/>
      <c r="AB13" s="29"/>
      <c r="AC13" s="29"/>
    </row>
    <row r="14">
      <c r="A14" s="25" t="s">
        <v>37</v>
      </c>
      <c r="B14" s="32"/>
      <c r="C14" s="32"/>
      <c r="D14" s="32"/>
      <c r="E14" s="32"/>
      <c r="F14" s="32"/>
      <c r="G14" s="32"/>
      <c r="H14" s="32"/>
      <c r="I14" s="32">
        <v>20.0</v>
      </c>
      <c r="J14" s="32">
        <v>15.0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29"/>
      <c r="AB14" s="29"/>
      <c r="AC14" s="29"/>
    </row>
    <row r="15">
      <c r="A15" s="25" t="s">
        <v>38</v>
      </c>
      <c r="B15" s="32"/>
      <c r="C15" s="32"/>
      <c r="D15" s="32"/>
      <c r="E15" s="32"/>
      <c r="F15" s="32"/>
      <c r="G15" s="32"/>
      <c r="H15" s="32"/>
      <c r="I15" s="32"/>
      <c r="J15" s="32">
        <v>1.0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29"/>
      <c r="AB15" s="29"/>
      <c r="AC15" s="29"/>
    </row>
    <row r="16">
      <c r="A16" s="25" t="s">
        <v>39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v>11.0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29"/>
      <c r="AB16" s="29"/>
      <c r="AC16" s="29"/>
    </row>
    <row r="17">
      <c r="A17" s="25" t="s">
        <v>40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>
        <v>1.0</v>
      </c>
      <c r="W17" s="33"/>
      <c r="X17" s="33"/>
      <c r="Y17" s="33">
        <v>1.0</v>
      </c>
      <c r="Z17" s="33"/>
      <c r="AA17" s="29"/>
      <c r="AB17" s="29"/>
      <c r="AC17" s="29"/>
    </row>
    <row r="18">
      <c r="A18" s="25" t="s">
        <v>41</v>
      </c>
      <c r="B18" s="33" t="s">
        <v>42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 t="s">
        <v>43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29"/>
      <c r="AB18" s="29"/>
      <c r="AC18" s="29"/>
    </row>
    <row r="19">
      <c r="A19" s="25" t="s">
        <v>44</v>
      </c>
      <c r="B19" s="33"/>
      <c r="C19" s="33"/>
      <c r="D19" s="33">
        <v>4.0</v>
      </c>
      <c r="E19" s="33"/>
      <c r="F19" s="33"/>
      <c r="G19" s="33"/>
      <c r="H19" s="33"/>
      <c r="I19" s="33">
        <v>2.0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>
        <v>4.0</v>
      </c>
      <c r="V19" s="33">
        <v>4.0</v>
      </c>
      <c r="W19" s="33">
        <v>4.0</v>
      </c>
      <c r="X19" s="33"/>
      <c r="Y19" s="33"/>
      <c r="Z19" s="33"/>
      <c r="AA19" s="29"/>
      <c r="AB19" s="29"/>
      <c r="AC19" s="29"/>
    </row>
    <row r="20">
      <c r="A20" s="25" t="s">
        <v>45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>
        <v>114.0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3"/>
      <c r="AB20" s="29"/>
      <c r="AC20" s="29"/>
    </row>
    <row r="21">
      <c r="A21" s="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9"/>
      <c r="AC21" s="29"/>
    </row>
    <row r="22">
      <c r="A22" s="24" t="s">
        <v>46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9"/>
      <c r="AC22" s="29"/>
    </row>
    <row r="23">
      <c r="A23" s="34" t="s">
        <v>47</v>
      </c>
      <c r="B23" s="35"/>
      <c r="C23" s="35"/>
      <c r="D23" s="35"/>
      <c r="E23" s="35"/>
      <c r="F23" s="35"/>
      <c r="G23" s="35"/>
      <c r="H23" s="35"/>
      <c r="I23" s="36">
        <v>1453.0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23"/>
      <c r="AB23" s="37"/>
      <c r="AC23" s="37"/>
    </row>
    <row r="24">
      <c r="A24" s="38" t="s">
        <v>48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>
        <v>89994.0</v>
      </c>
      <c r="O24" s="40">
        <v>92079.0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23"/>
      <c r="AB24" s="37"/>
      <c r="AC24" s="37"/>
    </row>
    <row r="25">
      <c r="A25" s="41" t="s">
        <v>49</v>
      </c>
      <c r="B25" s="33">
        <v>0.0</v>
      </c>
      <c r="C25" s="33">
        <v>0.0</v>
      </c>
      <c r="D25" s="33">
        <v>0.0</v>
      </c>
      <c r="E25" s="33">
        <v>0.0</v>
      </c>
      <c r="F25" s="33">
        <v>0.0</v>
      </c>
      <c r="G25" s="33">
        <v>0.0</v>
      </c>
      <c r="H25" s="33">
        <v>0.0</v>
      </c>
      <c r="I25" s="33">
        <v>1453.0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0.0</v>
      </c>
      <c r="R25" s="33">
        <v>0.0</v>
      </c>
      <c r="S25" s="33">
        <v>0.0</v>
      </c>
      <c r="T25" s="33">
        <v>0.0</v>
      </c>
      <c r="U25" s="33">
        <v>0.0</v>
      </c>
      <c r="V25" s="33">
        <v>0.0</v>
      </c>
      <c r="W25" s="33">
        <v>0.0</v>
      </c>
      <c r="X25" s="33">
        <v>0.0</v>
      </c>
      <c r="Y25" s="33">
        <v>0.0</v>
      </c>
      <c r="Z25" s="33">
        <v>0.0</v>
      </c>
      <c r="AA25" s="23"/>
      <c r="AB25" s="37"/>
      <c r="AC25" s="37"/>
    </row>
    <row r="26">
      <c r="A26" s="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37"/>
      <c r="AC26" s="37"/>
    </row>
    <row r="27">
      <c r="A27" s="24" t="s">
        <v>50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37"/>
      <c r="AC27" s="37"/>
    </row>
    <row r="28">
      <c r="A28" s="25" t="s">
        <v>51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 t="s">
        <v>52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 t="s">
        <v>53</v>
      </c>
      <c r="Z28" s="42"/>
      <c r="AA28" s="37"/>
      <c r="AB28" s="37"/>
      <c r="AC28" s="37"/>
    </row>
    <row r="29">
      <c r="A29" s="25" t="s">
        <v>54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 t="s">
        <v>55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 t="s">
        <v>56</v>
      </c>
      <c r="Z29" s="43"/>
      <c r="AA29" s="23"/>
      <c r="AB29" s="37"/>
      <c r="AC29" s="37"/>
    </row>
    <row r="30">
      <c r="A30" s="25" t="s">
        <v>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 t="s">
        <v>58</v>
      </c>
      <c r="Z30" s="43"/>
      <c r="AA30" s="23"/>
      <c r="AB30" s="37"/>
      <c r="AC30" s="37"/>
    </row>
    <row r="31">
      <c r="A31" s="25" t="s">
        <v>59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 t="s">
        <v>60</v>
      </c>
      <c r="T31" s="33"/>
      <c r="U31" s="33"/>
      <c r="V31" s="33"/>
      <c r="W31" s="33"/>
      <c r="X31" s="33"/>
      <c r="Y31" s="33"/>
      <c r="Z31" s="33"/>
      <c r="AA31" s="37"/>
      <c r="AB31" s="37"/>
      <c r="AC31" s="37"/>
    </row>
    <row r="32">
      <c r="A32" s="44" t="s">
        <v>61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>
        <v>52235.0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>
        <v>25168.0</v>
      </c>
      <c r="Z32" s="45"/>
      <c r="AA32" s="28"/>
      <c r="AB32" s="37"/>
      <c r="AC32" s="37"/>
    </row>
    <row r="33">
      <c r="A33" s="46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8"/>
      <c r="AB33" s="37"/>
      <c r="AC33" s="37"/>
    </row>
    <row r="34">
      <c r="A34" s="47" t="s">
        <v>62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8"/>
      <c r="AB34" s="37"/>
      <c r="AC34" s="37"/>
    </row>
    <row r="35">
      <c r="A35" s="48" t="s">
        <v>63</v>
      </c>
      <c r="B35" s="49"/>
      <c r="C35" s="49"/>
      <c r="D35" s="49"/>
      <c r="E35" s="49"/>
      <c r="F35" s="49"/>
      <c r="G35" s="49"/>
      <c r="H35" s="49"/>
      <c r="I35" s="49">
        <v>1.0</v>
      </c>
      <c r="J35" s="49"/>
      <c r="K35" s="49"/>
      <c r="L35" s="49"/>
      <c r="M35" s="49">
        <v>1.0</v>
      </c>
      <c r="N35" s="49"/>
      <c r="O35" s="49"/>
      <c r="P35" s="49">
        <v>1.0</v>
      </c>
      <c r="Q35" s="49">
        <v>3.0</v>
      </c>
      <c r="R35" s="49">
        <v>3.0</v>
      </c>
      <c r="S35" s="49">
        <v>6.0</v>
      </c>
      <c r="T35" s="49">
        <v>4.0</v>
      </c>
      <c r="U35" s="49"/>
      <c r="V35" s="49"/>
      <c r="W35" s="49"/>
      <c r="X35" s="49"/>
      <c r="Y35" s="49">
        <v>2.0</v>
      </c>
      <c r="Z35" s="49"/>
      <c r="AA35" s="23"/>
      <c r="AB35" s="37"/>
      <c r="AC35" s="37"/>
    </row>
    <row r="36">
      <c r="A36" s="50" t="s">
        <v>64</v>
      </c>
      <c r="B36" s="51"/>
      <c r="C36" s="51"/>
      <c r="D36" s="51"/>
      <c r="E36" s="51"/>
      <c r="F36" s="51"/>
      <c r="G36" s="51"/>
      <c r="H36" s="51"/>
      <c r="I36" s="51" t="s">
        <v>65</v>
      </c>
      <c r="J36" s="51"/>
      <c r="K36" s="51"/>
      <c r="L36" s="51"/>
      <c r="M36" s="51" t="s">
        <v>65</v>
      </c>
      <c r="N36" s="51"/>
      <c r="O36" s="51"/>
      <c r="P36" s="51" t="s">
        <v>65</v>
      </c>
      <c r="Q36" s="51" t="s">
        <v>66</v>
      </c>
      <c r="R36" s="51" t="s">
        <v>67</v>
      </c>
      <c r="S36" s="51" t="s">
        <v>66</v>
      </c>
      <c r="T36" s="51" t="s">
        <v>68</v>
      </c>
      <c r="U36" s="51"/>
      <c r="V36" s="51"/>
      <c r="W36" s="51"/>
      <c r="X36" s="51"/>
      <c r="Y36" s="51" t="s">
        <v>68</v>
      </c>
      <c r="Z36" s="51"/>
      <c r="AA36" s="37"/>
      <c r="AB36" s="37"/>
      <c r="AC36" s="37"/>
    </row>
    <row r="37">
      <c r="A37" s="46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37"/>
      <c r="AB37" s="37"/>
      <c r="AC37" s="37"/>
    </row>
    <row r="38">
      <c r="A38" s="46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23"/>
      <c r="AB38" s="37"/>
      <c r="AC38" s="37"/>
    </row>
    <row r="39">
      <c r="A39" s="46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23"/>
      <c r="AB39" s="37"/>
      <c r="AC39" s="37"/>
    </row>
    <row r="40">
      <c r="A40" s="46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23"/>
      <c r="AB40" s="37"/>
      <c r="AC40" s="37"/>
    </row>
    <row r="41">
      <c r="A41" s="46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37"/>
      <c r="AB41" s="37"/>
      <c r="AC41" s="37"/>
    </row>
    <row r="42">
      <c r="A42" s="46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37"/>
      <c r="AB42" s="37"/>
      <c r="AC42" s="37"/>
    </row>
    <row r="43">
      <c r="A43" s="46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37"/>
      <c r="AB43" s="37"/>
      <c r="AC43" s="37"/>
    </row>
    <row r="44">
      <c r="A44" s="46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23"/>
      <c r="AB44" s="37"/>
      <c r="AC44" s="37"/>
    </row>
    <row r="45">
      <c r="A45" s="46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37"/>
      <c r="AC45" s="37"/>
    </row>
    <row r="46">
      <c r="A46" s="46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37"/>
      <c r="AB46" s="37"/>
      <c r="AC46" s="37"/>
    </row>
    <row r="47">
      <c r="A47" s="46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37"/>
      <c r="AB47" s="37"/>
      <c r="AC47" s="37"/>
    </row>
    <row r="48">
      <c r="A48" s="46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37"/>
      <c r="AB48" s="37"/>
      <c r="AC48" s="37"/>
    </row>
    <row r="49">
      <c r="A49" s="46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37"/>
      <c r="AB49" s="37"/>
      <c r="AC49" s="37"/>
    </row>
    <row r="50">
      <c r="A50" s="55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37"/>
      <c r="AB50" s="37"/>
      <c r="AC50" s="37"/>
    </row>
  </sheetData>
  <mergeCells count="25">
    <mergeCell ref="B36:B49"/>
    <mergeCell ref="C36:C49"/>
    <mergeCell ref="D36:D49"/>
    <mergeCell ref="E36:E49"/>
    <mergeCell ref="F36:F49"/>
    <mergeCell ref="G36:G49"/>
    <mergeCell ref="H36:H49"/>
    <mergeCell ref="I36:I49"/>
    <mergeCell ref="J36:J49"/>
    <mergeCell ref="K36:K49"/>
    <mergeCell ref="L36:L49"/>
    <mergeCell ref="M36:M49"/>
    <mergeCell ref="N36:N49"/>
    <mergeCell ref="O36:O49"/>
    <mergeCell ref="W36:W49"/>
    <mergeCell ref="X36:X49"/>
    <mergeCell ref="Y36:Y49"/>
    <mergeCell ref="Z36:Z49"/>
    <mergeCell ref="P36:P49"/>
    <mergeCell ref="Q36:Q49"/>
    <mergeCell ref="R36:R49"/>
    <mergeCell ref="S36:S49"/>
    <mergeCell ref="T36:T49"/>
    <mergeCell ref="U36:U49"/>
    <mergeCell ref="V36:V49"/>
  </mergeCells>
  <conditionalFormatting sqref="AB2:AB6 AA4:AA6">
    <cfRule type="expression" dxfId="0" priority="1" stopIfTrue="1">
      <formula>(AB2/AVERAGE($B2:$AB2))&gt;1.75</formula>
    </cfRule>
  </conditionalFormatting>
  <conditionalFormatting sqref="AB2:AB6 AA4:AA6">
    <cfRule type="expression" dxfId="1" priority="2" stopIfTrue="1">
      <formula>(AB2/AVERAGE($B2:$AB2))&gt;1.25</formula>
    </cfRule>
  </conditionalFormatting>
  <conditionalFormatting sqref="AA31">
    <cfRule type="expression" dxfId="0" priority="3" stopIfTrue="1">
      <formula>(AA31/AVERAGE($B31:$AA31))&gt;1.75</formula>
    </cfRule>
  </conditionalFormatting>
  <conditionalFormatting sqref="AA31">
    <cfRule type="expression" dxfId="1" priority="4" stopIfTrue="1">
      <formula>(AA31/AVERAGE($B31:$AA31))&gt;1.25</formula>
    </cfRule>
  </conditionalFormatting>
  <conditionalFormatting sqref="AA29:AA35">
    <cfRule type="expression" dxfId="0" priority="5" stopIfTrue="1">
      <formula>(AA29/AVERAGE($B29:$AA29))&gt;1.75</formula>
    </cfRule>
  </conditionalFormatting>
  <conditionalFormatting sqref="AA29:AA35">
    <cfRule type="expression" dxfId="1" priority="6" stopIfTrue="1">
      <formula>(AA29/AVERAGE($B29:$AA29))&gt;1.25</formula>
    </cfRule>
  </conditionalFormatting>
  <conditionalFormatting sqref="B33:Z34">
    <cfRule type="expression" dxfId="0" priority="7" stopIfTrue="1">
      <formula>(B33/AVERAGE($B33:$Z33))&gt;1.75</formula>
    </cfRule>
  </conditionalFormatting>
  <conditionalFormatting sqref="B33:Z34">
    <cfRule type="expression" dxfId="1" priority="8" stopIfTrue="1">
      <formula>(B33/AVERAGE($B33:$Z33))&gt;1.25</formula>
    </cfRule>
  </conditionalFormatting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9" width="9.38"/>
  </cols>
  <sheetData>
    <row r="1" ht="19.5" customHeight="1">
      <c r="A1" s="1"/>
      <c r="B1" s="56" t="s">
        <v>2</v>
      </c>
      <c r="C1" s="57" t="s">
        <v>7</v>
      </c>
      <c r="D1" s="58" t="s">
        <v>8</v>
      </c>
      <c r="E1" s="59" t="s">
        <v>18</v>
      </c>
      <c r="F1" s="60" t="s">
        <v>19</v>
      </c>
      <c r="G1" s="20" t="s">
        <v>20</v>
      </c>
      <c r="H1" s="20" t="s">
        <v>21</v>
      </c>
      <c r="I1" s="20" t="s">
        <v>22</v>
      </c>
    </row>
    <row r="2">
      <c r="A2" s="47" t="s">
        <v>69</v>
      </c>
      <c r="B2" s="61"/>
      <c r="C2" s="62"/>
      <c r="D2" s="63"/>
      <c r="E2" s="64"/>
      <c r="F2" s="65"/>
      <c r="G2" s="37"/>
      <c r="H2" s="37"/>
      <c r="I2" s="37"/>
    </row>
    <row r="3">
      <c r="A3" s="66" t="s">
        <v>70</v>
      </c>
      <c r="B3" s="67"/>
      <c r="C3" s="68"/>
      <c r="D3" s="69"/>
      <c r="E3" s="68"/>
      <c r="F3" s="68"/>
      <c r="G3" s="69"/>
      <c r="H3" s="69"/>
      <c r="I3" s="69"/>
    </row>
    <row r="4">
      <c r="A4" s="70" t="s">
        <v>71</v>
      </c>
      <c r="B4" s="71"/>
      <c r="C4" s="72"/>
      <c r="D4" s="73"/>
      <c r="E4" s="74" t="s">
        <v>72</v>
      </c>
      <c r="F4" s="74" t="s">
        <v>73</v>
      </c>
      <c r="G4" s="75" t="s">
        <v>74</v>
      </c>
      <c r="H4" s="73"/>
      <c r="I4" s="73"/>
    </row>
    <row r="5">
      <c r="A5" s="70" t="s">
        <v>75</v>
      </c>
      <c r="B5" s="76" t="s">
        <v>76</v>
      </c>
      <c r="C5" s="74" t="s">
        <v>77</v>
      </c>
      <c r="D5" s="75" t="s">
        <v>78</v>
      </c>
      <c r="E5" s="74" t="s">
        <v>79</v>
      </c>
      <c r="F5" s="74" t="s">
        <v>80</v>
      </c>
      <c r="G5" s="75" t="s">
        <v>81</v>
      </c>
      <c r="H5" s="75" t="s">
        <v>82</v>
      </c>
      <c r="I5" s="75" t="s">
        <v>83</v>
      </c>
    </row>
    <row r="6">
      <c r="A6" s="70" t="s">
        <v>84</v>
      </c>
      <c r="B6" s="71"/>
      <c r="C6" s="72"/>
      <c r="D6" s="73"/>
      <c r="E6" s="72"/>
      <c r="F6" s="72"/>
      <c r="G6" s="73"/>
      <c r="H6" s="73"/>
      <c r="I6" s="73"/>
    </row>
    <row r="7">
      <c r="A7" s="70" t="s">
        <v>85</v>
      </c>
      <c r="B7" s="71"/>
      <c r="C7" s="72"/>
      <c r="D7" s="73"/>
      <c r="E7" s="74" t="s">
        <v>74</v>
      </c>
      <c r="F7" s="72"/>
      <c r="G7" s="73"/>
      <c r="H7" s="73"/>
      <c r="I7" s="73"/>
    </row>
    <row r="8">
      <c r="A8" s="66" t="s">
        <v>86</v>
      </c>
      <c r="B8" s="77"/>
      <c r="C8" s="78"/>
      <c r="D8" s="79"/>
      <c r="E8" s="78"/>
      <c r="F8" s="78"/>
      <c r="G8" s="79"/>
      <c r="H8" s="79"/>
      <c r="I8" s="79"/>
    </row>
    <row r="9">
      <c r="A9" s="66" t="s">
        <v>87</v>
      </c>
      <c r="B9" s="80" t="s">
        <v>88</v>
      </c>
      <c r="C9" s="81" t="s">
        <v>89</v>
      </c>
      <c r="D9" s="82" t="s">
        <v>90</v>
      </c>
      <c r="E9" s="81" t="s">
        <v>91</v>
      </c>
      <c r="F9" s="81" t="s">
        <v>92</v>
      </c>
      <c r="G9" s="82" t="s">
        <v>93</v>
      </c>
      <c r="H9" s="82" t="s">
        <v>91</v>
      </c>
      <c r="I9" s="82" t="s">
        <v>94</v>
      </c>
    </row>
    <row r="10">
      <c r="A10" s="70" t="s">
        <v>95</v>
      </c>
      <c r="B10" s="83"/>
      <c r="C10" s="84"/>
      <c r="D10" s="85"/>
      <c r="E10" s="84"/>
      <c r="F10" s="84"/>
      <c r="G10" s="85"/>
      <c r="H10" s="85"/>
      <c r="I10" s="85"/>
    </row>
    <row r="11">
      <c r="A11" s="70" t="s">
        <v>96</v>
      </c>
      <c r="B11" s="83"/>
      <c r="C11" s="84"/>
      <c r="D11" s="85"/>
      <c r="E11" s="84"/>
      <c r="F11" s="84"/>
      <c r="G11" s="85"/>
      <c r="H11" s="85"/>
      <c r="I11" s="85"/>
    </row>
    <row r="12">
      <c r="A12" s="70" t="s">
        <v>97</v>
      </c>
      <c r="B12" s="86"/>
      <c r="C12" s="87"/>
      <c r="D12" s="88"/>
      <c r="E12" s="87"/>
      <c r="F12" s="87"/>
      <c r="G12" s="88"/>
      <c r="H12" s="88"/>
      <c r="I12" s="88"/>
    </row>
    <row r="13">
      <c r="A13" s="70" t="s">
        <v>98</v>
      </c>
      <c r="B13" s="86"/>
      <c r="C13" s="87"/>
      <c r="D13" s="88"/>
      <c r="E13" s="87"/>
      <c r="F13" s="87"/>
      <c r="G13" s="88"/>
      <c r="H13" s="88"/>
      <c r="I13" s="88"/>
    </row>
    <row r="14">
      <c r="A14" s="70" t="s">
        <v>99</v>
      </c>
      <c r="B14" s="86"/>
      <c r="C14" s="87"/>
      <c r="D14" s="88"/>
      <c r="E14" s="87"/>
      <c r="F14" s="87"/>
      <c r="G14" s="88"/>
      <c r="H14" s="88"/>
      <c r="I14" s="88"/>
    </row>
    <row r="15">
      <c r="A15" s="70" t="s">
        <v>100</v>
      </c>
      <c r="B15" s="86"/>
      <c r="C15" s="87"/>
      <c r="D15" s="88"/>
      <c r="E15" s="87"/>
      <c r="F15" s="87"/>
      <c r="G15" s="88"/>
      <c r="H15" s="88"/>
      <c r="I15" s="88"/>
    </row>
    <row r="16">
      <c r="A16" s="66" t="s">
        <v>101</v>
      </c>
      <c r="B16" s="89">
        <v>0.0</v>
      </c>
      <c r="C16" s="90">
        <v>0.0</v>
      </c>
      <c r="D16" s="91">
        <v>0.0</v>
      </c>
      <c r="E16" s="90">
        <v>0.0</v>
      </c>
      <c r="F16" s="90">
        <v>0.0</v>
      </c>
      <c r="G16" s="91">
        <v>0.0</v>
      </c>
      <c r="H16" s="91">
        <v>0.0</v>
      </c>
      <c r="I16" s="91">
        <v>0.0</v>
      </c>
    </row>
    <row r="17">
      <c r="A17" s="66" t="s">
        <v>102</v>
      </c>
      <c r="B17" s="92">
        <v>0.0</v>
      </c>
      <c r="C17" s="93">
        <v>0.0</v>
      </c>
      <c r="D17" s="94">
        <v>0.0</v>
      </c>
      <c r="E17" s="93">
        <v>0.0</v>
      </c>
      <c r="F17" s="93">
        <v>0.0</v>
      </c>
      <c r="G17" s="94">
        <v>0.0</v>
      </c>
      <c r="H17" s="94">
        <v>0.0</v>
      </c>
      <c r="I17" s="94">
        <v>0.0</v>
      </c>
    </row>
    <row r="18">
      <c r="A18" s="1"/>
      <c r="B18" s="95"/>
      <c r="C18" s="96"/>
      <c r="D18" s="95"/>
      <c r="E18" s="97"/>
      <c r="F18" s="96"/>
      <c r="G18" s="23"/>
      <c r="H18" s="23"/>
      <c r="I18" s="23"/>
    </row>
    <row r="19">
      <c r="A19" s="24" t="s">
        <v>103</v>
      </c>
      <c r="B19" s="95"/>
      <c r="C19" s="96"/>
      <c r="D19" s="95"/>
      <c r="E19" s="97"/>
      <c r="F19" s="96"/>
      <c r="G19" s="23"/>
      <c r="H19" s="23"/>
      <c r="I19" s="23"/>
    </row>
    <row r="20">
      <c r="A20" s="25" t="s">
        <v>104</v>
      </c>
      <c r="B20" s="98">
        <v>18.0</v>
      </c>
      <c r="C20" s="99">
        <v>18.0</v>
      </c>
      <c r="D20" s="100">
        <v>10.0</v>
      </c>
      <c r="E20" s="101">
        <v>19.0</v>
      </c>
      <c r="F20" s="99">
        <v>18.0</v>
      </c>
      <c r="G20" s="102">
        <v>20.0</v>
      </c>
      <c r="H20" s="102">
        <v>17.0</v>
      </c>
      <c r="I20" s="102">
        <v>14.0</v>
      </c>
    </row>
    <row r="21">
      <c r="A21" s="25" t="s">
        <v>105</v>
      </c>
      <c r="B21" s="98"/>
      <c r="C21" s="99"/>
      <c r="D21" s="100"/>
      <c r="E21" s="101"/>
      <c r="F21" s="99"/>
      <c r="G21" s="102"/>
      <c r="H21" s="102"/>
      <c r="I21" s="102">
        <v>18.0</v>
      </c>
    </row>
    <row r="22">
      <c r="A22" s="103" t="s">
        <v>106</v>
      </c>
      <c r="B22" s="104"/>
      <c r="C22" s="105">
        <v>13.0</v>
      </c>
      <c r="D22" s="106">
        <v>10.0</v>
      </c>
      <c r="E22" s="107"/>
      <c r="F22" s="105"/>
      <c r="G22" s="108"/>
      <c r="H22" s="108"/>
      <c r="I22" s="108"/>
    </row>
    <row r="23">
      <c r="A23" s="103" t="s">
        <v>107</v>
      </c>
      <c r="B23" s="109"/>
      <c r="C23" s="110"/>
      <c r="D23" s="111"/>
      <c r="E23" s="112">
        <v>19.0</v>
      </c>
      <c r="F23" s="110">
        <v>19.0</v>
      </c>
      <c r="G23" s="113">
        <v>19.0</v>
      </c>
      <c r="H23" s="113">
        <v>17.0</v>
      </c>
      <c r="I23" s="113">
        <v>15.0</v>
      </c>
    </row>
    <row r="24">
      <c r="A24" s="1"/>
      <c r="B24" s="95"/>
      <c r="C24" s="96"/>
      <c r="D24" s="95"/>
      <c r="E24" s="97"/>
      <c r="F24" s="96"/>
      <c r="G24" s="23"/>
      <c r="H24" s="23"/>
      <c r="I24" s="23"/>
    </row>
    <row r="25">
      <c r="A25" s="24" t="s">
        <v>108</v>
      </c>
      <c r="B25" s="95"/>
      <c r="C25" s="96"/>
      <c r="D25" s="95"/>
      <c r="E25" s="97"/>
      <c r="F25" s="96"/>
      <c r="G25" s="23"/>
      <c r="H25" s="23"/>
      <c r="I25" s="23"/>
    </row>
    <row r="26">
      <c r="A26" s="114" t="s">
        <v>109</v>
      </c>
      <c r="B26" s="115">
        <f>HYPERLINK("https://classic.warcraftlogs.com/reports/GPAaJQBnF19VLft4#type=damage-taken&amp;filter=encounterid%20%21%3D%20724&amp;options=4098&amp;by=ability&amp;translate=true&amp;boss=-2&amp;wipes=2&amp;difficulty=0&amp;source=11&amp;view=events&amp;pins=2%24Off%24%23244F4B%24expression%24ability.id%20IN"&amp;"%20(37641)",14725)</f>
        <v>14725</v>
      </c>
      <c r="C26" s="116">
        <f>HYPERLINK("https://classic.warcraftlogs.com/reports/GPAaJQBnF19VLft4#type=damage-taken&amp;filter=encounterid%20%21%3D%20724&amp;options=4098&amp;by=ability&amp;translate=true&amp;boss=-2&amp;wipes=2&amp;difficulty=0&amp;source=20&amp;view=events&amp;pins=2%24Off%24%23244F4B%24expression%24ability.id%20IN"&amp;"%20(37641)",28975)</f>
        <v>28975</v>
      </c>
      <c r="D26" s="117"/>
      <c r="E26" s="118">
        <f>HYPERLINK("https://classic.warcraftlogs.com/reports/GPAaJQBnF19VLft4#type=damage-taken&amp;filter=encounterid%20%21%3D%20724&amp;options=4098&amp;by=ability&amp;translate=true&amp;boss=-2&amp;wipes=2&amp;difficulty=0&amp;source=17&amp;view=events&amp;pins=2%24Off%24%23244F4B%24expression%24ability.id%20IN"&amp;"%20(37641)",29925)</f>
        <v>29925</v>
      </c>
      <c r="F26" s="116">
        <f>HYPERLINK("https://classic.warcraftlogs.com/reports/GPAaJQBnF19VLft4#type=damage-taken&amp;filter=encounterid%20%21%3D%20724&amp;options=4098&amp;by=ability&amp;translate=true&amp;boss=-2&amp;wipes=2&amp;difficulty=0&amp;source=18&amp;view=events&amp;pins=2%24Off%24%23244F4B%24expression%24ability.id%20IN"&amp;"%20(37641)",37525)</f>
        <v>37525</v>
      </c>
      <c r="G26" s="119"/>
      <c r="H26" s="120">
        <f>HYPERLINK("https://classic.warcraftlogs.com/reports/GPAaJQBnF19VLft4#type=damage-taken&amp;filter=encounterid%20%21%3D%20724&amp;options=4098&amp;by=ability&amp;translate=true&amp;boss=-2&amp;wipes=2&amp;difficulty=0&amp;source=14&amp;view=events&amp;pins=2%24Off%24%23244F4B%24expression%24ability.id%20IN"&amp;"%20(37641)",45069)</f>
        <v>45069</v>
      </c>
      <c r="I26" s="119"/>
    </row>
    <row r="27">
      <c r="A27" s="114" t="s">
        <v>110</v>
      </c>
      <c r="B27" s="115">
        <f>HYPERLINK("https://classic.warcraftlogs.com/reports/GPAaJQBnF19VLft4#type=damage-taken&amp;filter=encounterid%20%21%3D%20724&amp;options=4098&amp;by=ability&amp;translate=true&amp;boss=-2&amp;wipes=2&amp;difficulty=0&amp;source=11&amp;view=events&amp;pins=2%24Off%24%23244F4B%24expression%24ability.id%20IN"&amp;"%20(37284)",11000)</f>
        <v>11000</v>
      </c>
      <c r="C27" s="121"/>
      <c r="D27" s="117"/>
      <c r="E27" s="118">
        <f>HYPERLINK("https://classic.warcraftlogs.com/reports/GPAaJQBnF19VLft4#type=damage-taken&amp;filter=encounterid%20%21%3D%20724&amp;options=4098&amp;by=ability&amp;translate=true&amp;boss=-2&amp;wipes=2&amp;difficulty=0&amp;source=17&amp;view=events&amp;pins=2%24Off%24%23244F4B%24expression%24ability.id%20IN"&amp;"%20(37284)",5500)</f>
        <v>5500</v>
      </c>
      <c r="F27" s="116">
        <f>HYPERLINK("https://classic.warcraftlogs.com/reports/GPAaJQBnF19VLft4#type=damage-taken&amp;filter=encounterid%20%21%3D%20724&amp;options=4098&amp;by=ability&amp;translate=true&amp;boss=-2&amp;wipes=2&amp;difficulty=0&amp;source=18&amp;view=events&amp;pins=2%24Off%24%23244F4B%24expression%24ability.id%20IN"&amp;"%20(37284)",5000)</f>
        <v>5000</v>
      </c>
      <c r="G27" s="120">
        <f>HYPERLINK("https://classic.warcraftlogs.com/reports/GPAaJQBnF19VLft4#type=damage-taken&amp;filter=encounterid%20%21%3D%20724&amp;options=4098&amp;by=ability&amp;translate=true&amp;boss=-2&amp;wipes=2&amp;difficulty=0&amp;source=21&amp;view=events&amp;pins=2%24Off%24%23244F4B%24expression%24ability.id%20IN"&amp;"%20(37284)",4988)</f>
        <v>4988</v>
      </c>
      <c r="H27" s="120">
        <f>HYPERLINK("https://classic.warcraftlogs.com/reports/GPAaJQBnF19VLft4#type=damage-taken&amp;filter=encounterid%20%21%3D%20724&amp;options=4098&amp;by=ability&amp;translate=true&amp;boss=-2&amp;wipes=2&amp;difficulty=0&amp;source=14&amp;view=events&amp;pins=2%24Off%24%23244F4B%24expression%24ability.id%20IN"&amp;"%20(37284)",4997)</f>
        <v>4997</v>
      </c>
      <c r="I27" s="120">
        <f>HYPERLINK("https://classic.warcraftlogs.com/reports/GPAaJQBnF19VLft4#type=damage-taken&amp;filter=encounterid%20%21%3D%20724&amp;options=4098&amp;by=ability&amp;translate=true&amp;boss=-2&amp;wipes=2&amp;difficulty=0&amp;source=23&amp;view=events&amp;pins=2%24Off%24%23244F4B%24expression%24ability.id%20IN"&amp;"%20(37284)",1998)</f>
        <v>1998</v>
      </c>
    </row>
    <row r="28">
      <c r="A28" s="114" t="s">
        <v>111</v>
      </c>
      <c r="B28" s="115">
        <f>HYPERLINK("https://classic.warcraftlogs.com/reports/GPAaJQBnF19VLft4#type=damage-taken&amp;filter=encounterid%20%21%3D%20724&amp;options=4098&amp;by=ability&amp;translate=true&amp;boss=-2&amp;wipes=2&amp;difficulty=0&amp;source=11&amp;view=events&amp;pins=2%24Off%24%23244F4B%24expression%24ability.id%20IN"&amp;"%20(3)",9895)</f>
        <v>9895</v>
      </c>
      <c r="C28" s="121"/>
      <c r="D28" s="117"/>
      <c r="E28" s="118">
        <f>HYPERLINK("https://classic.warcraftlogs.com/reports/GPAaJQBnF19VLft4#type=damage-taken&amp;filter=encounterid%20%21%3D%20724&amp;options=4098&amp;by=ability&amp;translate=true&amp;boss=-2&amp;wipes=2&amp;difficulty=0&amp;source=17&amp;view=events&amp;pins=2%24Off%24%23244F4B%24expression%24ability.id%20IN"&amp;"%20(3)",9853)</f>
        <v>9853</v>
      </c>
      <c r="F28" s="116">
        <f>HYPERLINK("https://classic.warcraftlogs.com/reports/GPAaJQBnF19VLft4#type=damage-taken&amp;filter=encounterid%20%21%3D%20724&amp;options=4098&amp;by=ability&amp;translate=true&amp;boss=-2&amp;wipes=2&amp;difficulty=0&amp;source=18&amp;view=events&amp;pins=2%24Off%24%23244F4B%24expression%24ability.id%20IN"&amp;"%20(3)",2220)</f>
        <v>2220</v>
      </c>
      <c r="G28" s="120">
        <f>HYPERLINK("https://classic.warcraftlogs.com/reports/GPAaJQBnF19VLft4#type=damage-taken&amp;filter=encounterid%20%21%3D%20724&amp;options=4098&amp;by=ability&amp;translate=true&amp;boss=-2&amp;wipes=2&amp;difficulty=0&amp;source=21&amp;view=events&amp;pins=2%24Off%24%23244F4B%24expression%24ability.id%20IN"&amp;"%20(3)",15076)</f>
        <v>15076</v>
      </c>
      <c r="H28" s="120">
        <f>HYPERLINK("https://classic.warcraftlogs.com/reports/GPAaJQBnF19VLft4#type=damage-taken&amp;filter=encounterid%20%21%3D%20724&amp;options=4098&amp;by=ability&amp;translate=true&amp;boss=-2&amp;wipes=2&amp;difficulty=0&amp;source=14&amp;view=events&amp;pins=2%24Off%24%23244F4B%24expression%24ability.id%20IN"&amp;"%20(3)",12054)</f>
        <v>12054</v>
      </c>
      <c r="I28" s="120">
        <f>HYPERLINK("https://classic.warcraftlogs.com/reports/GPAaJQBnF19VLft4#type=damage-taken&amp;filter=encounterid%20%21%3D%20724&amp;options=4098&amp;by=ability&amp;translate=true&amp;boss=-2&amp;wipes=2&amp;difficulty=0&amp;source=23&amp;view=events&amp;pins=2%24Off%24%23244F4B%24expression%24ability.id%20IN"&amp;"%20(3)",12818)</f>
        <v>12818</v>
      </c>
    </row>
    <row r="29">
      <c r="A29" s="114" t="s">
        <v>112</v>
      </c>
      <c r="B29" s="122"/>
      <c r="C29" s="121"/>
      <c r="D29" s="123">
        <f>HYPERLINK("https://classic.warcraftlogs.com/reports/GPAaJQBnF19VLft4#type=damage-taken&amp;filter=encounterid%20%21%3D%20724&amp;options=4098&amp;by=ability&amp;translate=true&amp;boss=-2&amp;wipes=2&amp;difficulty=0&amp;source=12&amp;view=events&amp;pins=2%24Off%24%23244F4B%24expression%24ability.id%20IN"&amp;"%20(35383)",2597)</f>
        <v>2597</v>
      </c>
      <c r="E29" s="118">
        <f>HYPERLINK("https://classic.warcraftlogs.com/reports/GPAaJQBnF19VLft4#type=damage-taken&amp;filter=encounterid%20%21%3D%20724&amp;options=4098&amp;by=ability&amp;translate=true&amp;boss=-2&amp;wipes=2&amp;difficulty=0&amp;source=17&amp;view=events&amp;pins=2%24Off%24%23244F4B%24expression%24ability.id%20IN"&amp;"%20(35383)",5235)</f>
        <v>5235</v>
      </c>
      <c r="F29" s="116">
        <f>HYPERLINK("https://classic.warcraftlogs.com/reports/GPAaJQBnF19VLft4#type=damage-taken&amp;filter=encounterid%20%21%3D%20724&amp;options=4098&amp;by=ability&amp;translate=true&amp;boss=-2&amp;wipes=2&amp;difficulty=0&amp;source=18&amp;view=events&amp;pins=2%24Off%24%23244F4B%24expression%24ability.id%20IN"&amp;"%20(35383)",5162)</f>
        <v>5162</v>
      </c>
      <c r="G29" s="120">
        <f>HYPERLINK("https://classic.warcraftlogs.com/reports/GPAaJQBnF19VLft4#type=damage-taken&amp;filter=encounterid%20%21%3D%20724&amp;options=4098&amp;by=ability&amp;translate=true&amp;boss=-2&amp;wipes=2&amp;difficulty=0&amp;source=21&amp;view=events&amp;pins=2%24Off%24%23244F4B%24expression%24ability.id%20IN"&amp;"%20(35383)",2254)</f>
        <v>2254</v>
      </c>
      <c r="H29" s="120">
        <f>HYPERLINK("https://classic.warcraftlogs.com/reports/GPAaJQBnF19VLft4#type=damage-taken&amp;filter=encounterid%20%21%3D%20724&amp;options=4098&amp;by=ability&amp;translate=true&amp;boss=-2&amp;wipes=2&amp;difficulty=0&amp;source=14&amp;view=events&amp;pins=2%24Off%24%23244F4B%24expression%24ability.id%20IN"&amp;"%20(35383)",8234)</f>
        <v>8234</v>
      </c>
      <c r="I29" s="119"/>
    </row>
    <row r="30">
      <c r="A30" s="114" t="s">
        <v>113</v>
      </c>
      <c r="B30" s="122"/>
      <c r="C30" s="116">
        <f>HYPERLINK("https://classic.warcraftlogs.com/reports/GPAaJQBnF19VLft4#type=damage-taken&amp;filter=encounterid%20%21%3D%20724&amp;options=4098&amp;by=ability&amp;translate=true&amp;boss=-2&amp;wipes=2&amp;difficulty=0&amp;source=20&amp;view=events&amp;pins=2%24Off%24%23244F4B%24expression%24ability.id%20IN"&amp;"%20(36731)",3000)</f>
        <v>3000</v>
      </c>
      <c r="D30" s="117"/>
      <c r="E30" s="118">
        <f>HYPERLINK("https://classic.warcraftlogs.com/reports/GPAaJQBnF19VLft4#type=damage-taken&amp;filter=encounterid%20%21%3D%20724&amp;options=4098&amp;by=ability&amp;translate=true&amp;boss=-2&amp;wipes=2&amp;difficulty=0&amp;source=17&amp;view=events&amp;pins=2%24Off%24%23244F4B%24expression%24ability.id%20IN"&amp;"%20(36731)",24000)</f>
        <v>24000</v>
      </c>
      <c r="F30" s="121"/>
      <c r="G30" s="119"/>
      <c r="H30" s="119"/>
      <c r="I30" s="119"/>
    </row>
    <row r="31">
      <c r="A31" s="114" t="s">
        <v>114</v>
      </c>
      <c r="B31" s="122"/>
      <c r="C31" s="121"/>
      <c r="D31" s="123">
        <f>HYPERLINK("https://classic.warcraftlogs.com/reports/GPAaJQBnF19VLft4#type=damage-taken&amp;filter=encounterid%20%21%3D%20724&amp;options=4098&amp;by=ability&amp;translate=true&amp;boss=-2&amp;wipes=2&amp;difficulty=0&amp;source=12&amp;view=events&amp;pins=2%24Off%24%23244F4B%24expression%24ability.id%20IN"&amp;"%20(360327)",6023)</f>
        <v>6023</v>
      </c>
      <c r="E31" s="124"/>
      <c r="F31" s="116">
        <f>HYPERLINK("https://classic.warcraftlogs.com/reports/GPAaJQBnF19VLft4#type=damage-taken&amp;filter=encounterid%20%21%3D%20724&amp;options=4098&amp;by=ability&amp;translate=true&amp;boss=-2&amp;wipes=2&amp;difficulty=0&amp;source=18&amp;view=events&amp;pins=2%24Off%24%23244F4B%24expression%24ability.id%20IN"&amp;"%20(360327)",3109)</f>
        <v>3109</v>
      </c>
      <c r="G31" s="120">
        <f>HYPERLINK("https://classic.warcraftlogs.com/reports/GPAaJQBnF19VLft4#type=damage-taken&amp;filter=encounterid%20%21%3D%20724&amp;options=4098&amp;by=ability&amp;translate=true&amp;boss=-2&amp;wipes=2&amp;difficulty=0&amp;source=21&amp;view=events&amp;pins=2%24Off%24%23244F4B%24expression%24ability.id%20IN"&amp;"%20(360327)",2919)</f>
        <v>2919</v>
      </c>
      <c r="H31" s="119"/>
      <c r="I31" s="119"/>
    </row>
    <row r="32">
      <c r="A32" s="114" t="s">
        <v>115</v>
      </c>
      <c r="B32" s="125"/>
      <c r="C32" s="126"/>
      <c r="D32" s="127"/>
      <c r="E32" s="128"/>
      <c r="F32" s="129">
        <f>HYPERLINK("https://classic.warcraftlogs.com/reports/GPAaJQBnF19VLft4#type=damage-taken&amp;pins=2%24Off%24%23244F4B%24expression%24target.name%3Dsource.name%20AND%20ability.id!%3D%27348191%27%20AND%20ability.id!%3D%2716666%27%20AND%20ability.id!%3D%2711684%27%20AND%20ab"&amp;"ility.id!%3D%2711683%27%20AND%20ability.id!%3D%271949%27%20AND%20ability.id!%3D%2726557%27%20AND%20ability.id!%3D%2728622%27%20AND%20ability.id!%3D%27290025%27%20AND%20ability.id!%3D%2727869%27%20AND%20ability.id!%3D%2716666%27%20AND%20ability.id!%3D%2713"&amp;"241%27AND%20ability.id!%3D%2720476%27AND%20ability.id!%3D%2732221%27AND%20ability.id!%3D%2732220%27AND%20ability.id!%3D%2730486%27AND%20ability.id!%3D%27351761%27AND%20ability.id!%3D%2737852%27AND%20ability.id!%3D%2727213%27AND%20ability.id!%3D%2738281%27"&amp;"AND%20ability.id!%3D%2729766%27AND%20ability.id!%3D%27348703%27AND%20ability.id!%3D%2741352%27AND%20ability.id!%3D%2740871%27AND%20ability.id!%3D%27348703%27AND%20ability.id!%3D%2741352%27AND%20ability.id!%3D%2745348%27AND%20ability.id!%3D%2741352%27AND%2"&amp;"0ability.id!%3D%2745034%27AND%20ability.id!%3D%2745642%27%20AND%20encounterid%20%21%3D%20724&amp;translate=true&amp;boss=-2&amp;wipes=2&amp;difficulty=0&amp;view=events&amp;target=18",6186)</f>
        <v>6186</v>
      </c>
      <c r="G32" s="130"/>
      <c r="H32" s="130"/>
      <c r="I32" s="130"/>
    </row>
    <row r="33">
      <c r="A33" s="114" t="s">
        <v>116</v>
      </c>
      <c r="B33" s="131"/>
      <c r="C33" s="132"/>
      <c r="D33" s="133"/>
      <c r="E33" s="134">
        <f>HYPERLINK("https://classic.warcraftlogs.com/reports/GPAaJQBnF19VLft4#type=damage&amp;filter=encounterid%20%21%3D%20724&amp;targetclass=player&amp;by=target&amp;translate=true&amp;boss=-2&amp;wipes=2&amp;difficulty=0&amp;source=17",2944)</f>
        <v>2944</v>
      </c>
      <c r="F33" s="132"/>
      <c r="G33" s="135"/>
      <c r="H33" s="135"/>
      <c r="I33" s="135"/>
    </row>
    <row r="34">
      <c r="A34" s="114" t="s">
        <v>117</v>
      </c>
      <c r="B34" s="131"/>
      <c r="C34" s="132"/>
      <c r="D34" s="133"/>
      <c r="E34" s="134">
        <f>HYPERLINK("https://classic.warcraftlogs.com/reports/GPAaJQBnF19VLft4#type=damage-taken&amp;pins=2%24Off%24%23244F4B%24expression%24NOT%20IN%20RANGE%20FROM%20type%20%3D%20%22applydebuff%22%20AND%20ability.id%20%3D%20%2229546%22%20AND%20target.name%3D%22Manhazitos%22%20TO"&amp;"%20type%20%3D%20%22removedebuff%22%20and%20ability.id%3D%2229546%22%20AND%20target.name%3D%22Manhazitos%22%20END%20AND%20NOT%20IN%20RANGE%20FROM%20type%20%3D%20%22applydebuff%22%20AND%20ability.id%20%3D%20%2245717%22%20AND%20target.name%3D%22Manhazitos%22"&amp;"%20TO%20type%20%3D%20%22removedebuff%22%20and%20ability.id%3D%2245717%22%20AND%20target.name%3D%22Manhazitos%22%20END%20AND%20NOT%20IN%20RANGE%20FROM%20type%20%3D%20%22applydebuff%22%20AND%20ability.id%20%3D%20%2237122%22%20AND%20target.name%3D%22Manhazit"&amp;"os%22%20TO%20type%20%3D%20%22removedebuff%22%20and%20ability.id%3D%2237122%22%20AND%20target.name%3D%22Manhazitos%22%20END%20AND%20NOT%20IN%20RANGE%20FROM%20type%20%3D%20%22applydebuff%22%20AND%20ability.id%20%3D%20%2237135%22%20AND%20target.name%3D%22Man"&amp;"hazitos%22%20TO%20type%20%3D%20%22removedebuff%22%20and%20ability.id%3D%2237135%22%20AND%20target.name%3D%22Manhazitos%22%20END%20AND%20NOT%20IN%20RANGE%20FROM%20type%20%3D%20%22applydebuff%22%20AND%20ability.id%20%3D%20%2241345%22%20AND%20target.name%3D%"&amp;"22Manhazitos%22%20TO%20type%20%3D%20%22removedebuff%22%20and%20ability.id%3D%2241345%22%20AND%20target.name%3D%22Manhazitos%22%20END%20AND%20NOT%20IN%20RANGE%20FROM%20type%20%3D%20%22applydebuff%22%20AND%20ability.id%20%3D%20%2243361%22%20AND%20target.nam"&amp;"e%3D%22Manhazitos%22%20TO%20type%20%3D%20%22removedebuff%22%20and%20ability.id%3D%2243361%22%20AND%20target.name%3D%22Manhazitos%22%20END%20AND%20encounterid%20%21%3D%20724%20AND%20ability.id%20%21%3D%2046768%20&amp;options=4135&amp;by=target&amp;translate=true&amp;boss="&amp;"-2&amp;wipes=2&amp;difficulty=0&amp;view=events&amp;target=17",8979)</f>
        <v>8979</v>
      </c>
      <c r="F34" s="136">
        <f>HYPERLINK("https://classic.warcraftlogs.com/reports/GPAaJQBnF19VLft4#type=damage-taken&amp;pins=2%24Off%24%23244F4B%24expression%24NOT%20IN%20RANGE%20FROM%20type%20%3D%20%22applydebuff%22%20AND%20ability.id%20%3D%20%2229546%22%20AND%20target.name%3D%22Darkminds%22%20TO%"&amp;"20type%20%3D%20%22removedebuff%22%20and%20ability.id%3D%2229546%22%20AND%20target.name%3D%22Darkminds%22%20END%20AND%20NOT%20IN%20RANGE%20FROM%20type%20%3D%20%22applydebuff%22%20AND%20ability.id%20%3D%20%2245717%22%20AND%20target.name%3D%22Darkminds%22%20"&amp;"TO%20type%20%3D%20%22removedebuff%22%20and%20ability.id%3D%2245717%22%20AND%20target.name%3D%22Darkminds%22%20END%20AND%20NOT%20IN%20RANGE%20FROM%20type%20%3D%20%22applydebuff%22%20AND%20ability.id%20%3D%20%2237122%22%20AND%20target.name%3D%22Darkminds%22"&amp;"%20TO%20type%20%3D%20%22removedebuff%22%20and%20ability.id%3D%2237122%22%20AND%20target.name%3D%22Darkminds%22%20END%20AND%20NOT%20IN%20RANGE%20FROM%20type%20%3D%20%22applydebuff%22%20AND%20ability.id%20%3D%20%2237135%22%20AND%20target.name%3D%22Darkminds"&amp;"%22%20TO%20type%20%3D%20%22removedebuff%22%20and%20ability.id%3D%2237135%22%20AND%20target.name%3D%22Darkminds%22%20END%20AND%20NOT%20IN%20RANGE%20FROM%20type%20%3D%20%22applydebuff%22%20AND%20ability.id%20%3D%20%2241345%22%20AND%20target.name%3D%22Darkmi"&amp;"nds%22%20TO%20type%20%3D%20%22removedebuff%22%20and%20ability.id%3D%2241345%22%20AND%20target.name%3D%22Darkminds%22%20END%20AND%20NOT%20IN%20RANGE%20FROM%20type%20%3D%20%22applydebuff%22%20AND%20ability.id%20%3D%20%2243361%22%20AND%20target.name%3D%22Dar"&amp;"kminds%22%20TO%20type%20%3D%20%22removedebuff%22%20and%20ability.id%3D%2243361%22%20AND%20target.name%3D%22Darkminds%22%20END%20AND%20encounterid%20%21%3D%20724%20AND%20ability.id%20%21%3D%2046768%20&amp;options=4135&amp;by=target&amp;translate=true&amp;boss=-2&amp;wipes=2&amp;d"&amp;"ifficulty=0&amp;view=events&amp;target=18",94946)</f>
        <v>94946</v>
      </c>
      <c r="G34" s="135"/>
      <c r="H34" s="135"/>
      <c r="I34" s="135"/>
    </row>
    <row r="35">
      <c r="A35" s="114" t="s">
        <v>118</v>
      </c>
      <c r="B35" s="137">
        <v>1.0</v>
      </c>
      <c r="C35" s="138">
        <v>1.0</v>
      </c>
      <c r="D35" s="139">
        <v>0.0</v>
      </c>
      <c r="E35" s="140">
        <v>2.0</v>
      </c>
      <c r="F35" s="138">
        <v>1.0</v>
      </c>
      <c r="G35" s="141">
        <v>3.0</v>
      </c>
      <c r="H35" s="141">
        <v>2.0</v>
      </c>
      <c r="I35" s="141">
        <v>2.0</v>
      </c>
    </row>
    <row r="36">
      <c r="A36" s="114" t="s">
        <v>119</v>
      </c>
      <c r="B36" s="142">
        <v>35620.0</v>
      </c>
      <c r="C36" s="143">
        <v>31975.0</v>
      </c>
      <c r="D36" s="144">
        <v>8620.0</v>
      </c>
      <c r="E36" s="145">
        <v>86436.0</v>
      </c>
      <c r="F36" s="143">
        <v>154148.0</v>
      </c>
      <c r="G36" s="33">
        <v>25237.0</v>
      </c>
      <c r="H36" s="33">
        <v>70354.0</v>
      </c>
      <c r="I36" s="33">
        <v>14816.0</v>
      </c>
    </row>
    <row r="37">
      <c r="A37" s="114"/>
      <c r="B37" s="146">
        <f>35620/MAX(B36:I36,1)</f>
        <v>0.2310766277</v>
      </c>
      <c r="C37" s="147">
        <f>31975/MAX(B36:I36,1)</f>
        <v>0.2074305213</v>
      </c>
      <c r="D37" s="146">
        <f>8620/MAX(B36:I36,1)</f>
        <v>0.0559202844</v>
      </c>
      <c r="E37" s="148">
        <f>86436/MAX(B36:I36,1)</f>
        <v>0.5607338402</v>
      </c>
      <c r="F37" s="147">
        <f>154148/MAX(B36:I36,1)</f>
        <v>1</v>
      </c>
      <c r="G37" s="149">
        <f>25237/MAX(B36:I36,1)</f>
        <v>0.1637192828</v>
      </c>
      <c r="H37" s="149">
        <f>70354/MAX(B36:I36,1)</f>
        <v>0.4564055323</v>
      </c>
      <c r="I37" s="149">
        <f>14816/MAX(B36:I36,1)</f>
        <v>0.09611542154</v>
      </c>
    </row>
    <row r="38">
      <c r="A38" s="24" t="s">
        <v>120</v>
      </c>
      <c r="B38" s="95"/>
      <c r="C38" s="96"/>
      <c r="D38" s="95"/>
      <c r="E38" s="97"/>
      <c r="F38" s="96"/>
      <c r="G38" s="23"/>
      <c r="H38" s="23"/>
      <c r="I38" s="23"/>
    </row>
    <row r="39">
      <c r="A39" s="114" t="s">
        <v>121</v>
      </c>
      <c r="B39" s="122"/>
      <c r="C39" s="121"/>
      <c r="D39" s="117">
        <v>1.0</v>
      </c>
      <c r="E39" s="124">
        <v>10.0</v>
      </c>
      <c r="F39" s="121"/>
      <c r="G39" s="119"/>
      <c r="H39" s="119">
        <v>4.0</v>
      </c>
      <c r="I39" s="119"/>
    </row>
    <row r="40">
      <c r="A40" s="114" t="s">
        <v>122</v>
      </c>
      <c r="B40" s="122"/>
      <c r="C40" s="121"/>
      <c r="D40" s="117"/>
      <c r="E40" s="124">
        <v>1.0</v>
      </c>
      <c r="F40" s="121"/>
      <c r="G40" s="119"/>
      <c r="H40" s="119">
        <v>1.0</v>
      </c>
      <c r="I40" s="119"/>
    </row>
    <row r="41">
      <c r="A41" s="114"/>
      <c r="B41" s="95"/>
      <c r="C41" s="96"/>
      <c r="D41" s="95"/>
      <c r="E41" s="97"/>
      <c r="F41" s="96"/>
      <c r="G41" s="23"/>
      <c r="H41" s="23"/>
      <c r="I41" s="23"/>
    </row>
    <row r="42">
      <c r="A42" s="55"/>
      <c r="B42" s="150"/>
      <c r="C42" s="151"/>
      <c r="D42" s="150"/>
      <c r="E42" s="152"/>
      <c r="F42" s="151"/>
      <c r="G42" s="53"/>
      <c r="H42" s="53"/>
      <c r="I42" s="53"/>
    </row>
  </sheetData>
  <conditionalFormatting sqref="B26:I36">
    <cfRule type="expression" dxfId="0" priority="1" stopIfTrue="1">
      <formula>(B26/AVERAGE($B26:$I26))&gt;1.75</formula>
    </cfRule>
  </conditionalFormatting>
  <conditionalFormatting sqref="B26:I36">
    <cfRule type="expression" dxfId="1" priority="2" stopIfTrue="1">
      <formula>(B26/AVERAGE($B26:$I26))&gt;1.25</formula>
    </cfRule>
  </conditionalFormatting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50.13"/>
    <col customWidth="1" min="3" max="3" width="9.38"/>
    <col customWidth="1" min="4" max="4" width="50.13"/>
    <col customWidth="1" min="5" max="6" width="9.38"/>
    <col customWidth="1" min="7" max="7" width="50.13"/>
    <col customWidth="1" min="8" max="8" width="9.38"/>
    <col customWidth="1" min="9" max="9" width="50.13"/>
    <col customWidth="1" min="10" max="13" width="9.38"/>
  </cols>
  <sheetData>
    <row r="1" ht="19.5" customHeight="1">
      <c r="A1" s="1"/>
      <c r="B1" s="153" t="s">
        <v>123</v>
      </c>
      <c r="C1" s="2" t="s">
        <v>2</v>
      </c>
      <c r="D1" s="154" t="s">
        <v>124</v>
      </c>
      <c r="E1" s="8" t="s">
        <v>7</v>
      </c>
      <c r="F1" s="58" t="s">
        <v>8</v>
      </c>
      <c r="G1" s="154" t="s">
        <v>125</v>
      </c>
      <c r="H1" s="155" t="s">
        <v>18</v>
      </c>
      <c r="I1" s="154" t="s">
        <v>126</v>
      </c>
      <c r="J1" s="19" t="s">
        <v>19</v>
      </c>
      <c r="K1" s="20" t="s">
        <v>20</v>
      </c>
      <c r="L1" s="20" t="s">
        <v>21</v>
      </c>
      <c r="M1" s="156" t="s">
        <v>22</v>
      </c>
    </row>
    <row r="2">
      <c r="A2" s="24" t="s">
        <v>127</v>
      </c>
      <c r="B2" s="23"/>
      <c r="C2" s="157"/>
      <c r="D2" s="96"/>
      <c r="E2" s="157"/>
      <c r="F2" s="158"/>
      <c r="G2" s="96"/>
      <c r="H2" s="158"/>
      <c r="I2" s="96"/>
      <c r="J2" s="157"/>
      <c r="K2" s="157"/>
      <c r="L2" s="157"/>
      <c r="M2" s="158"/>
    </row>
    <row r="3">
      <c r="A3" s="1"/>
      <c r="B3" s="159" t="s">
        <v>128</v>
      </c>
      <c r="C3" s="160" t="s">
        <v>129</v>
      </c>
      <c r="D3" s="161" t="s">
        <v>130</v>
      </c>
      <c r="E3" s="162">
        <v>875.0</v>
      </c>
      <c r="F3" s="163">
        <v>571.0</v>
      </c>
      <c r="G3" s="164" t="s">
        <v>131</v>
      </c>
      <c r="H3" s="165">
        <v>8.0</v>
      </c>
      <c r="I3" s="166" t="s">
        <v>132</v>
      </c>
      <c r="J3" s="167">
        <v>0.0</v>
      </c>
      <c r="K3" s="167">
        <v>1.0</v>
      </c>
      <c r="L3" s="167">
        <v>0.0</v>
      </c>
      <c r="M3" s="168">
        <v>0.0</v>
      </c>
    </row>
    <row r="4">
      <c r="A4" s="1"/>
      <c r="B4" s="159" t="s">
        <v>133</v>
      </c>
      <c r="C4" s="160">
        <v>0.0</v>
      </c>
      <c r="D4" s="161" t="s">
        <v>134</v>
      </c>
      <c r="E4" s="162">
        <v>0.0</v>
      </c>
      <c r="F4" s="163">
        <v>0.0</v>
      </c>
      <c r="G4" s="169" t="s">
        <v>135</v>
      </c>
      <c r="H4" s="170">
        <v>14.0</v>
      </c>
      <c r="I4" s="166" t="s">
        <v>136</v>
      </c>
      <c r="J4" s="167">
        <v>2.0</v>
      </c>
      <c r="K4" s="167">
        <v>2.0</v>
      </c>
      <c r="L4" s="167">
        <v>2.0</v>
      </c>
      <c r="M4" s="168">
        <v>2.0</v>
      </c>
    </row>
    <row r="5">
      <c r="A5" s="1"/>
      <c r="B5" s="171" t="s">
        <v>137</v>
      </c>
      <c r="C5" s="172">
        <v>0.0</v>
      </c>
      <c r="D5" s="161" t="s">
        <v>138</v>
      </c>
      <c r="E5" s="162">
        <v>0.0</v>
      </c>
      <c r="F5" s="163">
        <v>0.0</v>
      </c>
      <c r="G5" s="173" t="s">
        <v>139</v>
      </c>
      <c r="H5" s="174">
        <v>7.0</v>
      </c>
      <c r="I5" s="169" t="s">
        <v>140</v>
      </c>
      <c r="J5" s="160">
        <v>0.0</v>
      </c>
      <c r="K5" s="160">
        <v>0.0</v>
      </c>
      <c r="L5" s="160">
        <v>0.0</v>
      </c>
      <c r="M5" s="170">
        <v>0.0</v>
      </c>
    </row>
    <row r="6">
      <c r="A6" s="1"/>
      <c r="B6" s="171" t="s">
        <v>141</v>
      </c>
      <c r="C6" s="172">
        <v>0.0</v>
      </c>
      <c r="D6" s="161" t="s">
        <v>132</v>
      </c>
      <c r="E6" s="162">
        <v>1.0</v>
      </c>
      <c r="F6" s="163">
        <v>0.0</v>
      </c>
      <c r="G6" s="164" t="s">
        <v>142</v>
      </c>
      <c r="H6" s="165">
        <v>0.0</v>
      </c>
      <c r="I6" s="166" t="s">
        <v>143</v>
      </c>
      <c r="J6" s="167">
        <v>0.0</v>
      </c>
      <c r="K6" s="167">
        <v>10.0</v>
      </c>
      <c r="L6" s="167">
        <v>3.0</v>
      </c>
      <c r="M6" s="168">
        <v>87.0</v>
      </c>
    </row>
    <row r="7">
      <c r="A7" s="1"/>
      <c r="B7" s="175" t="s">
        <v>144</v>
      </c>
      <c r="C7" s="176" t="s">
        <v>145</v>
      </c>
      <c r="D7" s="161" t="s">
        <v>146</v>
      </c>
      <c r="E7" s="162">
        <v>9.0</v>
      </c>
      <c r="F7" s="163">
        <v>22.0</v>
      </c>
      <c r="G7" s="164" t="s">
        <v>147</v>
      </c>
      <c r="H7" s="165">
        <v>603.0</v>
      </c>
      <c r="I7" s="166" t="s">
        <v>148</v>
      </c>
      <c r="J7" s="167">
        <v>15.0</v>
      </c>
      <c r="K7" s="167">
        <v>33.0</v>
      </c>
      <c r="L7" s="167">
        <v>17.0</v>
      </c>
      <c r="M7" s="168">
        <v>0.0</v>
      </c>
    </row>
    <row r="8">
      <c r="A8" s="1"/>
      <c r="B8" s="175" t="s">
        <v>149</v>
      </c>
      <c r="C8" s="176" t="s">
        <v>150</v>
      </c>
      <c r="D8" s="161" t="s">
        <v>151</v>
      </c>
      <c r="E8" s="162">
        <v>3.0</v>
      </c>
      <c r="F8" s="163">
        <v>0.0</v>
      </c>
      <c r="G8" s="164" t="s">
        <v>152</v>
      </c>
      <c r="H8" s="165">
        <v>0.0</v>
      </c>
      <c r="I8" s="166" t="s">
        <v>153</v>
      </c>
      <c r="J8" s="167">
        <v>22.0</v>
      </c>
      <c r="K8" s="167">
        <v>19.0</v>
      </c>
      <c r="L8" s="167">
        <v>1.0</v>
      </c>
      <c r="M8" s="168">
        <v>0.0</v>
      </c>
    </row>
    <row r="9">
      <c r="A9" s="1"/>
      <c r="B9" s="175" t="s">
        <v>154</v>
      </c>
      <c r="C9" s="176">
        <v>540.0</v>
      </c>
      <c r="D9" s="169" t="s">
        <v>155</v>
      </c>
      <c r="E9" s="160">
        <v>16.0</v>
      </c>
      <c r="F9" s="170">
        <v>14.0</v>
      </c>
      <c r="G9" s="177" t="s">
        <v>156</v>
      </c>
      <c r="H9" s="178">
        <v>0.0</v>
      </c>
      <c r="I9" s="166" t="s">
        <v>157</v>
      </c>
      <c r="J9" s="167">
        <v>0.0</v>
      </c>
      <c r="K9" s="167">
        <v>0.0</v>
      </c>
      <c r="L9" s="167" t="s">
        <v>158</v>
      </c>
      <c r="M9" s="168">
        <v>0.0</v>
      </c>
    </row>
    <row r="10">
      <c r="A10" s="1"/>
      <c r="B10" s="175" t="s">
        <v>159</v>
      </c>
      <c r="C10" s="176">
        <v>0.0</v>
      </c>
      <c r="D10" s="169" t="s">
        <v>160</v>
      </c>
      <c r="E10" s="160">
        <v>12.0</v>
      </c>
      <c r="F10" s="170">
        <v>0.0</v>
      </c>
      <c r="G10" s="179" t="s">
        <v>161</v>
      </c>
      <c r="H10" s="180">
        <v>0.0</v>
      </c>
      <c r="I10" s="166" t="s">
        <v>162</v>
      </c>
      <c r="J10" s="167">
        <v>0.0</v>
      </c>
      <c r="K10" s="167">
        <v>0.0</v>
      </c>
      <c r="L10" s="167">
        <v>0.0</v>
      </c>
      <c r="M10" s="168" t="s">
        <v>163</v>
      </c>
    </row>
    <row r="11">
      <c r="A11" s="1"/>
      <c r="B11" s="175" t="s">
        <v>164</v>
      </c>
      <c r="C11" s="176">
        <v>3.0</v>
      </c>
      <c r="D11" s="173" t="s">
        <v>165</v>
      </c>
      <c r="E11" s="181" t="s">
        <v>166</v>
      </c>
      <c r="F11" s="174" t="s">
        <v>167</v>
      </c>
      <c r="G11" s="169" t="s">
        <v>168</v>
      </c>
      <c r="H11" s="170">
        <v>0.0</v>
      </c>
      <c r="I11" s="166" t="s">
        <v>169</v>
      </c>
      <c r="J11" s="167">
        <v>6.0</v>
      </c>
      <c r="K11" s="167">
        <v>0.0</v>
      </c>
      <c r="L11" s="167">
        <v>0.0</v>
      </c>
      <c r="M11" s="168">
        <v>0.0</v>
      </c>
    </row>
    <row r="12">
      <c r="A12" s="1"/>
      <c r="B12" s="182" t="s">
        <v>170</v>
      </c>
      <c r="C12" s="183">
        <v>0.0</v>
      </c>
      <c r="D12" s="173" t="s">
        <v>171</v>
      </c>
      <c r="E12" s="181">
        <v>0.0</v>
      </c>
      <c r="F12" s="174">
        <v>0.0</v>
      </c>
      <c r="G12" s="169" t="s">
        <v>172</v>
      </c>
      <c r="H12" s="170">
        <v>0.0</v>
      </c>
      <c r="I12" s="166" t="s">
        <v>173</v>
      </c>
      <c r="J12" s="167">
        <v>0.0</v>
      </c>
      <c r="K12" s="167">
        <v>0.0</v>
      </c>
      <c r="L12" s="167">
        <v>0.0</v>
      </c>
      <c r="M12" s="168">
        <v>0.0</v>
      </c>
    </row>
    <row r="13">
      <c r="A13" s="1"/>
      <c r="B13" s="175" t="s">
        <v>174</v>
      </c>
      <c r="C13" s="176">
        <v>0.0</v>
      </c>
      <c r="D13" s="173" t="s">
        <v>175</v>
      </c>
      <c r="E13" s="181">
        <v>0.0</v>
      </c>
      <c r="F13" s="174">
        <v>0.0</v>
      </c>
      <c r="G13" s="169" t="s">
        <v>176</v>
      </c>
      <c r="H13" s="170">
        <v>0.0</v>
      </c>
      <c r="I13" s="166" t="s">
        <v>177</v>
      </c>
      <c r="J13" s="167">
        <v>0.0</v>
      </c>
      <c r="K13" s="167">
        <v>0.0</v>
      </c>
      <c r="L13" s="167">
        <v>0.0</v>
      </c>
      <c r="M13" s="168">
        <v>0.0</v>
      </c>
    </row>
    <row r="14">
      <c r="A14" s="1"/>
      <c r="B14" s="175" t="s">
        <v>178</v>
      </c>
      <c r="C14" s="176">
        <v>0.0</v>
      </c>
      <c r="D14" s="173" t="s">
        <v>179</v>
      </c>
      <c r="E14" s="181">
        <v>6.0</v>
      </c>
      <c r="F14" s="174">
        <v>2.0</v>
      </c>
      <c r="G14" s="166" t="s">
        <v>180</v>
      </c>
      <c r="H14" s="168">
        <v>0.0</v>
      </c>
      <c r="I14" s="166" t="s">
        <v>181</v>
      </c>
      <c r="J14" s="167">
        <v>5.0</v>
      </c>
      <c r="K14" s="167">
        <v>1.0</v>
      </c>
      <c r="L14" s="184">
        <v>1.0</v>
      </c>
      <c r="M14" s="168">
        <v>5.0</v>
      </c>
    </row>
    <row r="15">
      <c r="A15" s="1"/>
      <c r="B15" s="185" t="s">
        <v>182</v>
      </c>
      <c r="C15" s="167">
        <v>0.0</v>
      </c>
      <c r="D15" s="173" t="s">
        <v>183</v>
      </c>
      <c r="E15" s="181">
        <v>31.0</v>
      </c>
      <c r="F15" s="174">
        <v>1.0</v>
      </c>
      <c r="G15" s="164" t="s">
        <v>178</v>
      </c>
      <c r="H15" s="165">
        <v>0.0</v>
      </c>
      <c r="I15" s="166" t="s">
        <v>184</v>
      </c>
      <c r="J15" s="167">
        <v>0.0</v>
      </c>
      <c r="K15" s="167">
        <v>1.0</v>
      </c>
      <c r="L15" s="167">
        <v>0.0</v>
      </c>
      <c r="M15" s="168">
        <v>5.0</v>
      </c>
    </row>
    <row r="16">
      <c r="A16" s="1"/>
      <c r="B16" s="182" t="s">
        <v>185</v>
      </c>
      <c r="C16" s="183">
        <v>0.0</v>
      </c>
      <c r="D16" s="186" t="s">
        <v>47</v>
      </c>
      <c r="E16" s="187">
        <v>1.0</v>
      </c>
      <c r="F16" s="187">
        <v>0.0</v>
      </c>
      <c r="G16" s="166" t="s">
        <v>186</v>
      </c>
      <c r="H16" s="168">
        <v>0.0</v>
      </c>
      <c r="I16" s="166" t="s">
        <v>187</v>
      </c>
      <c r="J16" s="167">
        <v>0.0</v>
      </c>
      <c r="K16" s="167">
        <v>0.0</v>
      </c>
      <c r="L16" s="167">
        <v>0.0</v>
      </c>
      <c r="M16" s="168">
        <v>0.0</v>
      </c>
    </row>
    <row r="17">
      <c r="A17" s="1"/>
      <c r="B17" s="188" t="s">
        <v>188</v>
      </c>
      <c r="C17" s="189">
        <v>0.0</v>
      </c>
      <c r="D17" s="169" t="s">
        <v>189</v>
      </c>
      <c r="E17" s="160">
        <v>0.0</v>
      </c>
      <c r="F17" s="170">
        <v>0.0</v>
      </c>
      <c r="G17" s="164" t="s">
        <v>190</v>
      </c>
      <c r="H17" s="165">
        <v>0.0</v>
      </c>
      <c r="I17" s="166" t="s">
        <v>191</v>
      </c>
      <c r="J17" s="167">
        <v>0.0</v>
      </c>
      <c r="K17" s="167">
        <v>0.0</v>
      </c>
      <c r="L17" s="167">
        <v>0.0</v>
      </c>
      <c r="M17" s="168">
        <v>1.0</v>
      </c>
    </row>
    <row r="18">
      <c r="A18" s="1"/>
      <c r="B18" s="188" t="s">
        <v>192</v>
      </c>
      <c r="C18" s="189">
        <v>0.0</v>
      </c>
      <c r="D18" s="161" t="s">
        <v>193</v>
      </c>
      <c r="E18" s="162">
        <v>2.0</v>
      </c>
      <c r="F18" s="163">
        <v>0.0</v>
      </c>
      <c r="G18" s="169" t="s">
        <v>194</v>
      </c>
      <c r="H18" s="190">
        <v>1.0</v>
      </c>
      <c r="I18" s="166" t="s">
        <v>195</v>
      </c>
      <c r="J18" s="167">
        <v>1.0</v>
      </c>
      <c r="K18" s="167">
        <v>0.0</v>
      </c>
      <c r="L18" s="167">
        <v>0.0</v>
      </c>
      <c r="M18" s="168">
        <v>2.0</v>
      </c>
    </row>
    <row r="19">
      <c r="A19" s="1"/>
      <c r="B19" s="188" t="s">
        <v>196</v>
      </c>
      <c r="C19" s="189">
        <v>0.0</v>
      </c>
      <c r="D19" s="166" t="s">
        <v>197</v>
      </c>
      <c r="E19" s="167">
        <v>0.0</v>
      </c>
      <c r="F19" s="168">
        <v>0.0</v>
      </c>
      <c r="G19" s="173" t="s">
        <v>198</v>
      </c>
      <c r="H19" s="174">
        <v>0.0</v>
      </c>
      <c r="I19" s="166" t="s">
        <v>199</v>
      </c>
      <c r="J19" s="167">
        <v>0.0</v>
      </c>
      <c r="K19" s="167">
        <v>0.0</v>
      </c>
      <c r="L19" s="167">
        <v>0.0</v>
      </c>
      <c r="M19" s="168">
        <v>0.0</v>
      </c>
    </row>
    <row r="20">
      <c r="A20" s="1"/>
      <c r="B20" s="188" t="s">
        <v>200</v>
      </c>
      <c r="C20" s="189">
        <v>0.0</v>
      </c>
      <c r="D20" s="169" t="s">
        <v>201</v>
      </c>
      <c r="E20" s="160">
        <v>0.0</v>
      </c>
      <c r="F20" s="170">
        <v>0.0</v>
      </c>
      <c r="G20" s="164" t="s">
        <v>202</v>
      </c>
      <c r="H20" s="165">
        <v>0.0</v>
      </c>
      <c r="I20" s="169" t="s">
        <v>203</v>
      </c>
      <c r="J20" s="160">
        <v>0.0</v>
      </c>
      <c r="K20" s="160">
        <v>5.0</v>
      </c>
      <c r="L20" s="160">
        <v>29.0</v>
      </c>
      <c r="M20" s="170">
        <v>0.0</v>
      </c>
    </row>
    <row r="21">
      <c r="A21" s="1"/>
      <c r="B21" s="188" t="s">
        <v>204</v>
      </c>
      <c r="C21" s="189">
        <v>0.0</v>
      </c>
      <c r="D21" s="169" t="s">
        <v>205</v>
      </c>
      <c r="E21" s="160">
        <v>0.0</v>
      </c>
      <c r="F21" s="170">
        <v>0.0</v>
      </c>
      <c r="G21" s="161" t="s">
        <v>206</v>
      </c>
      <c r="H21" s="163">
        <v>0.0</v>
      </c>
      <c r="I21" s="169" t="s">
        <v>207</v>
      </c>
      <c r="J21" s="160">
        <v>0.0</v>
      </c>
      <c r="K21" s="160">
        <v>0.0</v>
      </c>
      <c r="L21" s="160">
        <v>0.0</v>
      </c>
      <c r="M21" s="170">
        <v>0.0</v>
      </c>
    </row>
    <row r="22">
      <c r="A22" s="1"/>
      <c r="B22" s="188" t="s">
        <v>208</v>
      </c>
      <c r="C22" s="189">
        <v>0.0</v>
      </c>
      <c r="D22" s="191" t="s">
        <v>209</v>
      </c>
      <c r="E22" s="119">
        <v>4.0</v>
      </c>
      <c r="F22" s="117">
        <v>6.0</v>
      </c>
      <c r="G22" s="161" t="s">
        <v>210</v>
      </c>
      <c r="H22" s="163">
        <v>0.0</v>
      </c>
      <c r="I22" s="166" t="s">
        <v>211</v>
      </c>
      <c r="J22" s="167">
        <v>77.0</v>
      </c>
      <c r="K22" s="167">
        <v>104.0</v>
      </c>
      <c r="L22" s="167">
        <v>95.0</v>
      </c>
      <c r="M22" s="168">
        <v>74.0</v>
      </c>
    </row>
    <row r="23">
      <c r="A23" s="1"/>
      <c r="B23" s="188" t="s">
        <v>212</v>
      </c>
      <c r="C23" s="189">
        <v>0.0</v>
      </c>
      <c r="D23" s="161" t="s">
        <v>213</v>
      </c>
      <c r="E23" s="162">
        <v>0.0</v>
      </c>
      <c r="F23" s="163">
        <v>0.0</v>
      </c>
      <c r="G23" s="161" t="s">
        <v>214</v>
      </c>
      <c r="H23" s="163">
        <v>0.0</v>
      </c>
      <c r="I23" s="169" t="s">
        <v>215</v>
      </c>
      <c r="J23" s="160">
        <v>58.0</v>
      </c>
      <c r="K23" s="160">
        <v>54.0</v>
      </c>
      <c r="L23" s="160">
        <v>10.0</v>
      </c>
      <c r="M23" s="170">
        <v>0.0</v>
      </c>
    </row>
    <row r="24">
      <c r="A24" s="1"/>
      <c r="B24" s="188" t="s">
        <v>216</v>
      </c>
      <c r="C24" s="189">
        <v>0.0</v>
      </c>
      <c r="D24" s="161" t="s">
        <v>217</v>
      </c>
      <c r="E24" s="162">
        <v>0.0</v>
      </c>
      <c r="F24" s="163">
        <v>0.0</v>
      </c>
      <c r="G24" s="161" t="s">
        <v>218</v>
      </c>
      <c r="H24" s="163">
        <v>25.0</v>
      </c>
      <c r="I24" s="166" t="s">
        <v>219</v>
      </c>
      <c r="J24" s="167">
        <v>575.0</v>
      </c>
      <c r="K24" s="167">
        <v>580.0</v>
      </c>
      <c r="L24" s="167">
        <v>608.0</v>
      </c>
      <c r="M24" s="168">
        <v>484.0</v>
      </c>
    </row>
    <row r="25">
      <c r="A25" s="1"/>
      <c r="B25" s="188" t="s">
        <v>220</v>
      </c>
      <c r="C25" s="189">
        <v>0.0</v>
      </c>
      <c r="D25" s="192" t="s">
        <v>221</v>
      </c>
      <c r="E25" s="193">
        <v>0.0</v>
      </c>
      <c r="F25" s="193">
        <v>0.0</v>
      </c>
      <c r="G25" s="161" t="s">
        <v>222</v>
      </c>
      <c r="H25" s="163">
        <v>0.0</v>
      </c>
      <c r="I25" s="166" t="s">
        <v>223</v>
      </c>
      <c r="J25" s="167">
        <v>6.0</v>
      </c>
      <c r="K25" s="167">
        <v>16.0</v>
      </c>
      <c r="L25" s="167">
        <v>20.0</v>
      </c>
      <c r="M25" s="168">
        <v>1.0</v>
      </c>
    </row>
    <row r="26">
      <c r="A26" s="1"/>
      <c r="B26" s="188" t="s">
        <v>224</v>
      </c>
      <c r="C26" s="189">
        <v>0.0</v>
      </c>
      <c r="D26" s="192" t="s">
        <v>225</v>
      </c>
      <c r="E26" s="193">
        <v>0.0</v>
      </c>
      <c r="F26" s="193">
        <v>0.0</v>
      </c>
      <c r="G26" s="161" t="s">
        <v>226</v>
      </c>
      <c r="H26" s="163">
        <v>0.0</v>
      </c>
      <c r="I26" s="166" t="s">
        <v>227</v>
      </c>
      <c r="J26" s="167">
        <v>0.0</v>
      </c>
      <c r="K26" s="167">
        <v>0.0</v>
      </c>
      <c r="L26" s="167">
        <v>0.0</v>
      </c>
      <c r="M26" s="168">
        <v>0.0</v>
      </c>
    </row>
    <row r="27">
      <c r="A27" s="1"/>
      <c r="B27" s="188" t="s">
        <v>228</v>
      </c>
      <c r="C27" s="189">
        <v>0.0</v>
      </c>
      <c r="D27" s="191" t="s">
        <v>229</v>
      </c>
      <c r="E27" s="119">
        <v>0.0</v>
      </c>
      <c r="F27" s="117">
        <v>0.0</v>
      </c>
      <c r="G27" s="161" t="s">
        <v>230</v>
      </c>
      <c r="H27" s="163">
        <v>0.0</v>
      </c>
      <c r="I27" s="166" t="s">
        <v>231</v>
      </c>
      <c r="J27" s="167">
        <v>0.0</v>
      </c>
      <c r="K27" s="167">
        <v>5.0</v>
      </c>
      <c r="L27" s="167">
        <v>0.0</v>
      </c>
      <c r="M27" s="168">
        <v>26.0</v>
      </c>
    </row>
    <row r="28">
      <c r="A28" s="1"/>
      <c r="B28" s="194" t="s">
        <v>232</v>
      </c>
      <c r="C28" s="119">
        <v>0.0</v>
      </c>
      <c r="D28" s="96"/>
      <c r="E28" s="23"/>
      <c r="F28" s="95"/>
      <c r="G28" s="161" t="s">
        <v>233</v>
      </c>
      <c r="H28" s="163">
        <v>0.0</v>
      </c>
      <c r="I28" s="169" t="s">
        <v>234</v>
      </c>
      <c r="J28" s="160">
        <v>0.0</v>
      </c>
      <c r="K28" s="160">
        <v>0.0</v>
      </c>
      <c r="L28" s="160">
        <v>0.0</v>
      </c>
      <c r="M28" s="170">
        <v>0.0</v>
      </c>
    </row>
    <row r="29">
      <c r="A29" s="1"/>
      <c r="B29" s="194" t="s">
        <v>235</v>
      </c>
      <c r="C29" s="119">
        <v>0.0</v>
      </c>
      <c r="D29" s="96"/>
      <c r="E29" s="23"/>
      <c r="F29" s="95"/>
      <c r="G29" s="161" t="s">
        <v>236</v>
      </c>
      <c r="H29" s="163">
        <v>25.0</v>
      </c>
      <c r="I29" s="166" t="s">
        <v>237</v>
      </c>
      <c r="J29" s="167">
        <v>0.0</v>
      </c>
      <c r="K29" s="167">
        <v>0.0</v>
      </c>
      <c r="L29" s="167">
        <v>0.0</v>
      </c>
      <c r="M29" s="168">
        <v>0.0</v>
      </c>
    </row>
    <row r="30">
      <c r="A30" s="1"/>
      <c r="B30" s="194" t="s">
        <v>238</v>
      </c>
      <c r="C30" s="119">
        <v>0.0</v>
      </c>
      <c r="D30" s="96"/>
      <c r="E30" s="23"/>
      <c r="F30" s="95"/>
      <c r="G30" s="195" t="s">
        <v>239</v>
      </c>
      <c r="H30" s="196">
        <v>0.0</v>
      </c>
      <c r="I30" s="166" t="s">
        <v>240</v>
      </c>
      <c r="J30" s="167">
        <v>0.0</v>
      </c>
      <c r="K30" s="167">
        <v>0.0</v>
      </c>
      <c r="L30" s="167">
        <v>0.0</v>
      </c>
      <c r="M30" s="168">
        <v>0.0</v>
      </c>
    </row>
    <row r="31">
      <c r="A31" s="1"/>
      <c r="B31" s="194" t="s">
        <v>241</v>
      </c>
      <c r="C31" s="119">
        <v>0.0</v>
      </c>
      <c r="D31" s="96"/>
      <c r="E31" s="23"/>
      <c r="F31" s="95"/>
      <c r="G31" s="195" t="s">
        <v>242</v>
      </c>
      <c r="H31" s="197">
        <v>2.0</v>
      </c>
      <c r="I31" s="191" t="s">
        <v>229</v>
      </c>
      <c r="J31" s="119">
        <v>0.0</v>
      </c>
      <c r="K31" s="119">
        <v>0.0</v>
      </c>
      <c r="L31" s="119">
        <v>0.0</v>
      </c>
      <c r="M31" s="117">
        <v>1.0</v>
      </c>
    </row>
    <row r="32">
      <c r="A32" s="1"/>
      <c r="B32" s="194" t="s">
        <v>243</v>
      </c>
      <c r="C32" s="119">
        <v>2.0</v>
      </c>
      <c r="D32" s="96"/>
      <c r="E32" s="23"/>
      <c r="F32" s="95"/>
      <c r="G32" s="195" t="s">
        <v>244</v>
      </c>
      <c r="H32" s="196">
        <v>0.0</v>
      </c>
      <c r="I32" s="191" t="s">
        <v>209</v>
      </c>
      <c r="J32" s="119">
        <v>0.0</v>
      </c>
      <c r="K32" s="119">
        <v>0.0</v>
      </c>
      <c r="L32" s="119">
        <v>0.0</v>
      </c>
      <c r="M32" s="117">
        <v>2.0</v>
      </c>
    </row>
    <row r="33">
      <c r="A33" s="1"/>
      <c r="B33" s="194" t="s">
        <v>245</v>
      </c>
      <c r="C33" s="119">
        <v>0.0</v>
      </c>
      <c r="D33" s="96"/>
      <c r="E33" s="23"/>
      <c r="F33" s="95"/>
      <c r="G33" s="195" t="s">
        <v>246</v>
      </c>
      <c r="H33" s="196">
        <v>5.0</v>
      </c>
      <c r="I33" s="96"/>
      <c r="J33" s="23"/>
      <c r="K33" s="23"/>
      <c r="L33" s="23"/>
      <c r="M33" s="95"/>
    </row>
    <row r="34">
      <c r="A34" s="1"/>
      <c r="B34" s="194" t="s">
        <v>247</v>
      </c>
      <c r="C34" s="119">
        <v>0.0</v>
      </c>
      <c r="D34" s="96"/>
      <c r="E34" s="23"/>
      <c r="F34" s="198"/>
      <c r="G34" s="169" t="s">
        <v>248</v>
      </c>
      <c r="H34" s="170">
        <v>0.0</v>
      </c>
      <c r="I34" s="96"/>
      <c r="J34" s="23"/>
      <c r="K34" s="23"/>
      <c r="L34" s="23"/>
      <c r="M34" s="95"/>
    </row>
    <row r="35">
      <c r="A35" s="1"/>
      <c r="B35" s="194" t="s">
        <v>249</v>
      </c>
      <c r="C35" s="119">
        <v>0.0</v>
      </c>
      <c r="D35" s="96"/>
      <c r="E35" s="23"/>
      <c r="F35" s="95"/>
      <c r="G35" s="173" t="s">
        <v>250</v>
      </c>
      <c r="H35" s="174">
        <v>0.0</v>
      </c>
      <c r="I35" s="96"/>
      <c r="J35" s="23"/>
      <c r="K35" s="23"/>
      <c r="L35" s="23"/>
      <c r="M35" s="95"/>
    </row>
    <row r="36">
      <c r="A36" s="1"/>
      <c r="B36" s="194" t="s">
        <v>251</v>
      </c>
      <c r="C36" s="119">
        <v>0.0</v>
      </c>
      <c r="D36" s="96"/>
      <c r="E36" s="23"/>
      <c r="F36" s="95"/>
      <c r="G36" s="179" t="s">
        <v>252</v>
      </c>
      <c r="H36" s="180">
        <v>0.0</v>
      </c>
      <c r="I36" s="96"/>
      <c r="J36" s="23"/>
      <c r="K36" s="23"/>
      <c r="L36" s="23"/>
      <c r="M36" s="95"/>
    </row>
    <row r="37">
      <c r="A37" s="1"/>
      <c r="B37" s="194" t="s">
        <v>253</v>
      </c>
      <c r="C37" s="119">
        <v>0.0</v>
      </c>
      <c r="D37" s="96"/>
      <c r="E37" s="23"/>
      <c r="F37" s="95"/>
      <c r="G37" s="161" t="s">
        <v>254</v>
      </c>
      <c r="H37" s="163">
        <v>0.0</v>
      </c>
      <c r="I37" s="96"/>
      <c r="J37" s="23"/>
      <c r="K37" s="23"/>
      <c r="L37" s="23"/>
      <c r="M37" s="95"/>
    </row>
    <row r="38">
      <c r="A38" s="1"/>
      <c r="B38" s="194" t="s">
        <v>255</v>
      </c>
      <c r="C38" s="119">
        <v>0.0</v>
      </c>
      <c r="D38" s="96"/>
      <c r="E38" s="23"/>
      <c r="F38" s="95"/>
      <c r="G38" s="191" t="s">
        <v>256</v>
      </c>
      <c r="H38" s="117">
        <v>0.0</v>
      </c>
      <c r="I38" s="96"/>
      <c r="J38" s="23"/>
      <c r="K38" s="23"/>
      <c r="L38" s="23"/>
      <c r="M38" s="95"/>
    </row>
    <row r="39">
      <c r="A39" s="1"/>
      <c r="B39" s="194" t="s">
        <v>257</v>
      </c>
      <c r="C39" s="119">
        <v>0.0</v>
      </c>
      <c r="D39" s="96"/>
      <c r="E39" s="23"/>
      <c r="F39" s="95"/>
      <c r="G39" s="191" t="s">
        <v>232</v>
      </c>
      <c r="H39" s="117">
        <v>4.0</v>
      </c>
      <c r="I39" s="96"/>
      <c r="J39" s="23"/>
      <c r="K39" s="23"/>
      <c r="L39" s="23"/>
      <c r="M39" s="95"/>
    </row>
    <row r="40">
      <c r="A40" s="1"/>
      <c r="B40" s="194" t="s">
        <v>258</v>
      </c>
      <c r="C40" s="119">
        <v>0.0</v>
      </c>
      <c r="D40" s="96"/>
      <c r="E40" s="23"/>
      <c r="F40" s="95"/>
      <c r="G40" s="164" t="s">
        <v>259</v>
      </c>
      <c r="H40" s="165">
        <v>0.0</v>
      </c>
      <c r="I40" s="96"/>
      <c r="J40" s="23"/>
      <c r="K40" s="23"/>
      <c r="L40" s="23"/>
      <c r="M40" s="95"/>
    </row>
    <row r="41">
      <c r="A41" s="1"/>
      <c r="B41" s="194" t="s">
        <v>260</v>
      </c>
      <c r="C41" s="119">
        <v>0.0</v>
      </c>
      <c r="D41" s="96"/>
      <c r="E41" s="23"/>
      <c r="F41" s="95"/>
      <c r="G41" s="199" t="s">
        <v>261</v>
      </c>
      <c r="H41" s="200" t="s">
        <v>262</v>
      </c>
      <c r="I41" s="96"/>
      <c r="J41" s="23"/>
      <c r="K41" s="23"/>
      <c r="L41" s="23"/>
      <c r="M41" s="95"/>
    </row>
    <row r="42">
      <c r="A42" s="1"/>
      <c r="B42" s="201" t="s">
        <v>263</v>
      </c>
      <c r="C42" s="193">
        <v>0.0</v>
      </c>
      <c r="D42" s="96"/>
      <c r="E42" s="23"/>
      <c r="F42" s="95"/>
      <c r="G42" s="199" t="s">
        <v>264</v>
      </c>
      <c r="H42" s="200">
        <v>0.0</v>
      </c>
      <c r="I42" s="96"/>
      <c r="J42" s="23"/>
      <c r="K42" s="23"/>
      <c r="L42" s="23"/>
      <c r="M42" s="95"/>
    </row>
    <row r="43">
      <c r="A43" s="1"/>
      <c r="B43" s="194" t="s">
        <v>265</v>
      </c>
      <c r="C43" s="119">
        <v>0.0</v>
      </c>
      <c r="D43" s="96"/>
      <c r="E43" s="23"/>
      <c r="F43" s="95"/>
      <c r="G43" s="199" t="s">
        <v>266</v>
      </c>
      <c r="H43" s="200">
        <v>22.0</v>
      </c>
      <c r="I43" s="96"/>
      <c r="J43" s="23"/>
      <c r="K43" s="23"/>
      <c r="L43" s="23"/>
      <c r="M43" s="95"/>
    </row>
    <row r="44">
      <c r="A44" s="1"/>
      <c r="B44" s="194" t="s">
        <v>267</v>
      </c>
      <c r="C44" s="119">
        <v>0.0</v>
      </c>
      <c r="D44" s="96"/>
      <c r="E44" s="23"/>
      <c r="F44" s="95"/>
      <c r="G44" s="199" t="s">
        <v>268</v>
      </c>
      <c r="H44" s="200">
        <v>0.0</v>
      </c>
      <c r="I44" s="96"/>
      <c r="J44" s="23"/>
      <c r="K44" s="23"/>
      <c r="L44" s="23"/>
      <c r="M44" s="95"/>
    </row>
    <row r="45">
      <c r="A45" s="1"/>
      <c r="B45" s="194" t="s">
        <v>269</v>
      </c>
      <c r="C45" s="119">
        <v>0.0</v>
      </c>
      <c r="D45" s="96"/>
      <c r="E45" s="23"/>
      <c r="F45" s="95"/>
      <c r="G45" s="199" t="s">
        <v>270</v>
      </c>
      <c r="H45" s="200">
        <v>0.0</v>
      </c>
      <c r="I45" s="96"/>
      <c r="J45" s="23"/>
      <c r="K45" s="23"/>
      <c r="L45" s="23"/>
      <c r="M45" s="95"/>
    </row>
    <row r="46">
      <c r="A46" s="1"/>
      <c r="B46" s="194" t="s">
        <v>271</v>
      </c>
      <c r="C46" s="119">
        <v>0.0</v>
      </c>
      <c r="D46" s="96"/>
      <c r="E46" s="23"/>
      <c r="F46" s="95"/>
      <c r="G46" s="199" t="s">
        <v>272</v>
      </c>
      <c r="H46" s="200">
        <v>0.0</v>
      </c>
      <c r="I46" s="96"/>
      <c r="J46" s="23"/>
      <c r="K46" s="23"/>
      <c r="L46" s="23"/>
      <c r="M46" s="95"/>
    </row>
    <row r="47">
      <c r="A47" s="1"/>
      <c r="B47" s="194" t="s">
        <v>273</v>
      </c>
      <c r="C47" s="119">
        <v>0.0</v>
      </c>
      <c r="D47" s="96"/>
      <c r="E47" s="23"/>
      <c r="F47" s="95"/>
      <c r="G47" s="199" t="s">
        <v>274</v>
      </c>
      <c r="H47" s="200">
        <v>0.0</v>
      </c>
      <c r="I47" s="96"/>
      <c r="J47" s="23"/>
      <c r="K47" s="23"/>
      <c r="L47" s="23"/>
      <c r="M47" s="95"/>
    </row>
    <row r="48">
      <c r="A48" s="1"/>
      <c r="B48" s="194" t="s">
        <v>275</v>
      </c>
      <c r="C48" s="119">
        <v>0.0</v>
      </c>
      <c r="D48" s="96"/>
      <c r="E48" s="23"/>
      <c r="F48" s="95"/>
      <c r="G48" s="199" t="s">
        <v>276</v>
      </c>
      <c r="H48" s="200" t="s">
        <v>277</v>
      </c>
      <c r="I48" s="96"/>
      <c r="J48" s="23"/>
      <c r="K48" s="23"/>
      <c r="L48" s="23"/>
      <c r="M48" s="95"/>
    </row>
    <row r="49">
      <c r="A49" s="1"/>
      <c r="B49" s="194" t="s">
        <v>278</v>
      </c>
      <c r="C49" s="119">
        <v>0.0</v>
      </c>
      <c r="D49" s="96"/>
      <c r="E49" s="23"/>
      <c r="F49" s="95"/>
      <c r="G49" s="96"/>
      <c r="H49" s="95"/>
      <c r="I49" s="96"/>
      <c r="J49" s="23"/>
      <c r="K49" s="23"/>
      <c r="L49" s="23"/>
      <c r="M49" s="95"/>
    </row>
    <row r="50">
      <c r="A50" s="1"/>
      <c r="B50" s="194" t="s">
        <v>279</v>
      </c>
      <c r="C50" s="119">
        <v>0.0</v>
      </c>
      <c r="D50" s="96"/>
      <c r="E50" s="23"/>
      <c r="F50" s="95"/>
      <c r="G50" s="96"/>
      <c r="H50" s="95"/>
      <c r="I50" s="96"/>
      <c r="J50" s="23"/>
      <c r="K50" s="23"/>
      <c r="L50" s="23"/>
      <c r="M50" s="95"/>
    </row>
    <row r="51">
      <c r="A51" s="1"/>
      <c r="B51" s="194" t="s">
        <v>280</v>
      </c>
      <c r="C51" s="119">
        <v>0.0</v>
      </c>
      <c r="D51" s="96"/>
      <c r="E51" s="23"/>
      <c r="F51" s="95"/>
      <c r="G51" s="96"/>
      <c r="H51" s="95"/>
      <c r="I51" s="96"/>
      <c r="J51" s="23"/>
      <c r="K51" s="23"/>
      <c r="L51" s="23"/>
      <c r="M51" s="95"/>
    </row>
    <row r="52">
      <c r="A52" s="1"/>
      <c r="B52" s="194" t="s">
        <v>281</v>
      </c>
      <c r="C52" s="119">
        <v>0.0</v>
      </c>
      <c r="D52" s="96"/>
      <c r="E52" s="23"/>
      <c r="F52" s="95"/>
      <c r="G52" s="96"/>
      <c r="H52" s="95"/>
      <c r="I52" s="96"/>
      <c r="J52" s="23"/>
      <c r="K52" s="23"/>
      <c r="L52" s="23"/>
      <c r="M52" s="95"/>
    </row>
    <row r="53">
      <c r="A53" s="1"/>
      <c r="B53" s="194" t="s">
        <v>282</v>
      </c>
      <c r="C53" s="119">
        <v>0.0</v>
      </c>
      <c r="D53" s="96"/>
      <c r="E53" s="23"/>
      <c r="F53" s="95"/>
      <c r="G53" s="96"/>
      <c r="H53" s="95"/>
      <c r="I53" s="96"/>
      <c r="J53" s="23"/>
      <c r="K53" s="23"/>
      <c r="L53" s="23"/>
      <c r="M53" s="95"/>
    </row>
    <row r="54">
      <c r="A54" s="1"/>
      <c r="B54" s="194" t="s">
        <v>283</v>
      </c>
      <c r="C54" s="119">
        <v>0.0</v>
      </c>
      <c r="D54" s="96"/>
      <c r="E54" s="23"/>
      <c r="F54" s="95"/>
      <c r="G54" s="96"/>
      <c r="H54" s="95"/>
      <c r="I54" s="96"/>
      <c r="J54" s="23"/>
      <c r="K54" s="23"/>
      <c r="L54" s="23"/>
      <c r="M54" s="95"/>
    </row>
    <row r="55">
      <c r="A55" s="1"/>
      <c r="B55" s="23"/>
      <c r="C55" s="23"/>
      <c r="D55" s="96"/>
      <c r="E55" s="23"/>
      <c r="F55" s="95"/>
      <c r="G55" s="96"/>
      <c r="H55" s="95"/>
      <c r="I55" s="96"/>
      <c r="J55" s="23"/>
      <c r="K55" s="23"/>
      <c r="L55" s="23"/>
      <c r="M55" s="95"/>
    </row>
    <row r="56">
      <c r="A56" s="24" t="s">
        <v>284</v>
      </c>
      <c r="B56" s="23"/>
      <c r="C56" s="23"/>
      <c r="D56" s="96"/>
      <c r="E56" s="23"/>
      <c r="F56" s="95"/>
      <c r="G56" s="96"/>
      <c r="H56" s="95"/>
      <c r="I56" s="96"/>
      <c r="J56" s="23"/>
      <c r="K56" s="23"/>
      <c r="L56" s="23"/>
      <c r="M56" s="95"/>
    </row>
    <row r="57">
      <c r="A57" s="1"/>
      <c r="B57" s="175" t="s">
        <v>285</v>
      </c>
      <c r="C57" s="176">
        <v>1.0</v>
      </c>
      <c r="D57" s="161" t="s">
        <v>286</v>
      </c>
      <c r="E57" s="162">
        <v>35.0</v>
      </c>
      <c r="F57" s="163">
        <v>30.0</v>
      </c>
      <c r="G57" s="199" t="s">
        <v>287</v>
      </c>
      <c r="H57" s="200">
        <v>0.0</v>
      </c>
      <c r="I57" s="169" t="s">
        <v>288</v>
      </c>
      <c r="J57" s="160">
        <v>0.0</v>
      </c>
      <c r="K57" s="160">
        <v>1.0</v>
      </c>
      <c r="L57" s="160">
        <v>0.0</v>
      </c>
      <c r="M57" s="170">
        <v>0.0</v>
      </c>
    </row>
    <row r="58">
      <c r="A58" s="1"/>
      <c r="B58" s="23"/>
      <c r="C58" s="23"/>
      <c r="D58" s="161" t="s">
        <v>289</v>
      </c>
      <c r="E58" s="162">
        <v>0.0</v>
      </c>
      <c r="F58" s="163">
        <v>0.0</v>
      </c>
      <c r="G58" s="199" t="s">
        <v>290</v>
      </c>
      <c r="H58" s="200">
        <v>0.0</v>
      </c>
      <c r="I58" s="169" t="s">
        <v>291</v>
      </c>
      <c r="J58" s="160">
        <v>0.0</v>
      </c>
      <c r="K58" s="160">
        <v>0.0</v>
      </c>
      <c r="L58" s="160">
        <v>0.0</v>
      </c>
      <c r="M58" s="170">
        <v>0.0</v>
      </c>
    </row>
    <row r="59">
      <c r="A59" s="1"/>
      <c r="B59" s="23"/>
      <c r="C59" s="23"/>
      <c r="D59" s="169" t="s">
        <v>292</v>
      </c>
      <c r="E59" s="160">
        <v>0.0</v>
      </c>
      <c r="F59" s="170">
        <v>0.0</v>
      </c>
      <c r="G59" s="199" t="s">
        <v>293</v>
      </c>
      <c r="H59" s="200">
        <v>0.0</v>
      </c>
      <c r="I59" s="166" t="s">
        <v>294</v>
      </c>
      <c r="J59" s="167">
        <v>28.0</v>
      </c>
      <c r="K59" s="167">
        <v>23.0</v>
      </c>
      <c r="L59" s="167">
        <v>34.0</v>
      </c>
      <c r="M59" s="168">
        <v>19.0</v>
      </c>
    </row>
    <row r="60">
      <c r="A60" s="1"/>
      <c r="B60" s="23"/>
      <c r="C60" s="23"/>
      <c r="D60" s="173" t="s">
        <v>295</v>
      </c>
      <c r="E60" s="181">
        <v>0.0</v>
      </c>
      <c r="F60" s="174">
        <v>0.0</v>
      </c>
      <c r="G60" s="199" t="s">
        <v>296</v>
      </c>
      <c r="H60" s="200">
        <v>0.0</v>
      </c>
      <c r="I60" s="96"/>
      <c r="J60" s="23"/>
      <c r="K60" s="23"/>
      <c r="L60" s="23"/>
      <c r="M60" s="95"/>
    </row>
    <row r="61">
      <c r="A61" s="1"/>
      <c r="B61" s="23"/>
      <c r="C61" s="23"/>
      <c r="D61" s="169" t="s">
        <v>297</v>
      </c>
      <c r="E61" s="160">
        <v>0.0</v>
      </c>
      <c r="F61" s="170">
        <v>0.0</v>
      </c>
      <c r="G61" s="199" t="s">
        <v>298</v>
      </c>
      <c r="H61" s="200">
        <v>0.0</v>
      </c>
      <c r="I61" s="96"/>
      <c r="J61" s="23"/>
      <c r="K61" s="23"/>
      <c r="L61" s="23"/>
      <c r="M61" s="95"/>
    </row>
    <row r="62">
      <c r="A62" s="1"/>
      <c r="B62" s="23"/>
      <c r="C62" s="23"/>
      <c r="D62" s="173" t="s">
        <v>299</v>
      </c>
      <c r="E62" s="181">
        <v>0.0</v>
      </c>
      <c r="F62" s="174">
        <v>2.0</v>
      </c>
      <c r="G62" s="164" t="s">
        <v>300</v>
      </c>
      <c r="H62" s="165">
        <v>179.0</v>
      </c>
      <c r="I62" s="96"/>
      <c r="J62" s="23"/>
      <c r="K62" s="23"/>
      <c r="L62" s="23"/>
      <c r="M62" s="95"/>
    </row>
    <row r="63">
      <c r="A63" s="1"/>
      <c r="B63" s="23"/>
      <c r="C63" s="23"/>
      <c r="D63" s="173" t="s">
        <v>301</v>
      </c>
      <c r="E63" s="181">
        <v>0.0</v>
      </c>
      <c r="F63" s="174">
        <v>0.0</v>
      </c>
      <c r="G63" s="169" t="s">
        <v>302</v>
      </c>
      <c r="H63" s="170">
        <v>1.0</v>
      </c>
      <c r="I63" s="96"/>
      <c r="J63" s="23"/>
      <c r="K63" s="23"/>
      <c r="L63" s="23"/>
      <c r="M63" s="95"/>
    </row>
    <row r="64">
      <c r="A64" s="1"/>
      <c r="B64" s="23"/>
      <c r="C64" s="23"/>
      <c r="D64" s="169" t="s">
        <v>303</v>
      </c>
      <c r="E64" s="160">
        <v>4.0</v>
      </c>
      <c r="F64" s="170">
        <v>1.0</v>
      </c>
      <c r="G64" s="169" t="s">
        <v>304</v>
      </c>
      <c r="H64" s="170">
        <v>0.0</v>
      </c>
      <c r="I64" s="96"/>
      <c r="J64" s="23"/>
      <c r="K64" s="23"/>
      <c r="L64" s="23"/>
      <c r="M64" s="95"/>
    </row>
    <row r="65">
      <c r="A65" s="1"/>
      <c r="B65" s="23"/>
      <c r="C65" s="23"/>
      <c r="D65" s="169" t="s">
        <v>305</v>
      </c>
      <c r="E65" s="160">
        <v>0.0</v>
      </c>
      <c r="F65" s="170">
        <v>0.0</v>
      </c>
      <c r="G65" s="202" t="s">
        <v>306</v>
      </c>
      <c r="H65" s="203">
        <f>210/179</f>
        <v>1.173184358</v>
      </c>
      <c r="I65" s="96"/>
      <c r="J65" s="23"/>
      <c r="K65" s="23"/>
      <c r="L65" s="23"/>
      <c r="M65" s="95"/>
    </row>
    <row r="66">
      <c r="A66" s="1"/>
      <c r="B66" s="23"/>
      <c r="C66" s="23"/>
      <c r="D66" s="202" t="s">
        <v>306</v>
      </c>
      <c r="E66" s="204">
        <f>136/39</f>
        <v>3.487179487</v>
      </c>
      <c r="F66" s="203">
        <f>110/33</f>
        <v>3.333333333</v>
      </c>
      <c r="G66" s="96"/>
      <c r="H66" s="95"/>
      <c r="I66" s="96"/>
      <c r="J66" s="23"/>
      <c r="K66" s="23"/>
      <c r="L66" s="23"/>
      <c r="M66" s="95"/>
    </row>
    <row r="67">
      <c r="A67" s="1"/>
      <c r="B67" s="23"/>
      <c r="C67" s="23"/>
      <c r="D67" s="96"/>
      <c r="E67" s="23"/>
      <c r="F67" s="95"/>
      <c r="G67" s="96"/>
      <c r="H67" s="95"/>
      <c r="I67" s="96"/>
      <c r="J67" s="23"/>
      <c r="K67" s="23"/>
      <c r="L67" s="23"/>
      <c r="M67" s="95"/>
    </row>
    <row r="68">
      <c r="A68" s="205"/>
      <c r="B68" s="206"/>
      <c r="C68" s="206">
        <v>2051.0</v>
      </c>
      <c r="D68" s="207"/>
      <c r="E68" s="206">
        <v>2008.0</v>
      </c>
      <c r="F68" s="208">
        <v>1460.0</v>
      </c>
      <c r="G68" s="207"/>
      <c r="H68" s="208">
        <v>1671.0</v>
      </c>
      <c r="I68" s="207"/>
      <c r="J68" s="206">
        <v>1692.0</v>
      </c>
      <c r="K68" s="206">
        <v>1806.0</v>
      </c>
      <c r="L68" s="206">
        <v>1804.0</v>
      </c>
      <c r="M68" s="208">
        <v>1601.0</v>
      </c>
    </row>
    <row r="69">
      <c r="A69" s="209" t="s">
        <v>307</v>
      </c>
      <c r="B69" s="210"/>
      <c r="C69" s="211">
        <v>2046.0</v>
      </c>
      <c r="D69" s="212"/>
      <c r="E69" s="211">
        <v>1948.0</v>
      </c>
      <c r="F69" s="213">
        <v>1412.0</v>
      </c>
      <c r="G69" s="212"/>
      <c r="H69" s="213">
        <v>1329.0</v>
      </c>
      <c r="I69" s="212"/>
      <c r="J69" s="211">
        <v>1639.0</v>
      </c>
      <c r="K69" s="211">
        <v>1756.0</v>
      </c>
      <c r="L69" s="211">
        <v>1739.0</v>
      </c>
      <c r="M69" s="213">
        <v>1565.0</v>
      </c>
    </row>
    <row r="70">
      <c r="A70" s="214" t="s">
        <v>308</v>
      </c>
      <c r="B70" s="215"/>
      <c r="C70" s="215">
        <f>2046/MAX(A68:M68,1)</f>
        <v>0.9975621648</v>
      </c>
      <c r="D70" s="216"/>
      <c r="E70" s="215">
        <f>1948/MAX(A68:M68,1)</f>
        <v>0.9497805948</v>
      </c>
      <c r="F70" s="217">
        <f>1412/MAX(A68:M68,1)</f>
        <v>0.6884446611</v>
      </c>
      <c r="G70" s="216"/>
      <c r="H70" s="217">
        <f>1329/MAX(A68:M68,1)</f>
        <v>0.6479765968</v>
      </c>
      <c r="I70" s="216"/>
      <c r="J70" s="215">
        <f>1639/MAX(A68:M68,1)</f>
        <v>0.7991223793</v>
      </c>
      <c r="K70" s="215">
        <f>1756/MAX(A68:M68,1)</f>
        <v>0.8561677231</v>
      </c>
      <c r="L70" s="215">
        <f>1739/MAX(A68:M68,1)</f>
        <v>0.8478790834</v>
      </c>
      <c r="M70" s="217">
        <f>1565/MAX(A68:M68,1)</f>
        <v>0.7630424183</v>
      </c>
    </row>
    <row r="71">
      <c r="A71" s="218" t="s">
        <v>309</v>
      </c>
      <c r="B71" s="219"/>
      <c r="C71" s="220">
        <f>C70+C72</f>
        <v>1</v>
      </c>
      <c r="D71" s="221"/>
      <c r="E71" s="220">
        <f t="shared" ref="E71:F71" si="1">E70+E72</f>
        <v>0.9790346173</v>
      </c>
      <c r="F71" s="222">
        <f t="shared" si="1"/>
        <v>0.7118478791</v>
      </c>
      <c r="G71" s="221"/>
      <c r="H71" s="222">
        <f>H70+H72</f>
        <v>0.8147245246</v>
      </c>
      <c r="I71" s="221"/>
      <c r="J71" s="220">
        <f t="shared" ref="J71:M71" si="2">J70+J72</f>
        <v>0.8249634325</v>
      </c>
      <c r="K71" s="220">
        <f t="shared" si="2"/>
        <v>0.8810336421</v>
      </c>
      <c r="L71" s="220">
        <f t="shared" si="2"/>
        <v>0.879570941</v>
      </c>
      <c r="M71" s="222">
        <f t="shared" si="2"/>
        <v>0.7805948318</v>
      </c>
    </row>
    <row r="72">
      <c r="A72" s="223" t="s">
        <v>310</v>
      </c>
      <c r="B72" s="224"/>
      <c r="C72" s="224">
        <f>5/MAX(A68:M68,1)</f>
        <v>0.002437835202</v>
      </c>
      <c r="D72" s="225"/>
      <c r="E72" s="224">
        <f>60/MAX(A68:M68,1)</f>
        <v>0.02925402243</v>
      </c>
      <c r="F72" s="226">
        <f>48/MAX(A68:M68,1)</f>
        <v>0.02340321794</v>
      </c>
      <c r="G72" s="225"/>
      <c r="H72" s="226">
        <f>342/MAX(A68:M68,1)</f>
        <v>0.1667479278</v>
      </c>
      <c r="I72" s="225"/>
      <c r="J72" s="224">
        <f>53/MAX(A68:M68,1)</f>
        <v>0.02584105314</v>
      </c>
      <c r="K72" s="224">
        <f>51/MAX(A68:M68,1)</f>
        <v>0.02486591906</v>
      </c>
      <c r="L72" s="224">
        <f>65/MAX(A68:M68,1)</f>
        <v>0.03169185763</v>
      </c>
      <c r="M72" s="226">
        <f>36/MAX(A68:M68,1)</f>
        <v>0.01755241346</v>
      </c>
    </row>
    <row r="73">
      <c r="A73" s="209" t="s">
        <v>311</v>
      </c>
      <c r="B73" s="210"/>
      <c r="C73" s="211">
        <v>5.0</v>
      </c>
      <c r="D73" s="212"/>
      <c r="E73" s="211">
        <v>60.0</v>
      </c>
      <c r="F73" s="213">
        <v>48.0</v>
      </c>
      <c r="G73" s="212"/>
      <c r="H73" s="213">
        <v>342.0</v>
      </c>
      <c r="I73" s="212"/>
      <c r="J73" s="211">
        <v>53.0</v>
      </c>
      <c r="K73" s="211">
        <v>51.0</v>
      </c>
      <c r="L73" s="211">
        <v>65.0</v>
      </c>
      <c r="M73" s="213">
        <v>36.0</v>
      </c>
    </row>
    <row r="74">
      <c r="A74" s="227" t="s">
        <v>312</v>
      </c>
      <c r="B74" s="228"/>
      <c r="C74" s="228">
        <v>0.82</v>
      </c>
      <c r="D74" s="229"/>
      <c r="E74" s="228">
        <v>0.84</v>
      </c>
      <c r="F74" s="230">
        <v>0.58</v>
      </c>
      <c r="G74" s="229"/>
      <c r="H74" s="230">
        <v>0.84</v>
      </c>
      <c r="I74" s="229"/>
      <c r="J74" s="228">
        <v>0.87</v>
      </c>
      <c r="K74" s="228">
        <v>0.84</v>
      </c>
      <c r="L74" s="228">
        <v>0.82</v>
      </c>
      <c r="M74" s="230">
        <v>0.78</v>
      </c>
    </row>
    <row r="75">
      <c r="A75" s="1"/>
      <c r="B75" s="23"/>
      <c r="C75" s="23"/>
      <c r="D75" s="96"/>
      <c r="E75" s="23"/>
      <c r="F75" s="95"/>
      <c r="G75" s="96"/>
      <c r="H75" s="95"/>
      <c r="I75" s="96"/>
      <c r="J75" s="23"/>
      <c r="K75" s="23"/>
      <c r="L75" s="23"/>
      <c r="M75" s="95"/>
    </row>
    <row r="76">
      <c r="A76" s="24" t="s">
        <v>313</v>
      </c>
      <c r="B76" s="23"/>
      <c r="C76" s="23"/>
      <c r="D76" s="96"/>
      <c r="E76" s="23"/>
      <c r="F76" s="95"/>
      <c r="G76" s="96"/>
      <c r="H76" s="95"/>
      <c r="I76" s="96"/>
      <c r="J76" s="23"/>
      <c r="K76" s="23"/>
      <c r="L76" s="23"/>
      <c r="M76" s="95"/>
    </row>
    <row r="77">
      <c r="A77" s="1"/>
      <c r="B77" s="231" t="s">
        <v>314</v>
      </c>
      <c r="C77" s="43">
        <v>0.0</v>
      </c>
      <c r="D77" s="232" t="s">
        <v>314</v>
      </c>
      <c r="E77" s="43">
        <v>0.0</v>
      </c>
      <c r="F77" s="233">
        <v>0.0</v>
      </c>
      <c r="G77" s="232" t="s">
        <v>314</v>
      </c>
      <c r="H77" s="233">
        <v>0.0</v>
      </c>
      <c r="I77" s="232" t="s">
        <v>314</v>
      </c>
      <c r="J77" s="43">
        <v>0.0</v>
      </c>
      <c r="K77" s="43">
        <v>0.0</v>
      </c>
      <c r="L77" s="43">
        <v>0.0</v>
      </c>
      <c r="M77" s="233">
        <v>0.0</v>
      </c>
    </row>
    <row r="78">
      <c r="A78" s="1"/>
      <c r="B78" s="231" t="s">
        <v>315</v>
      </c>
      <c r="C78" s="43">
        <v>0.0</v>
      </c>
      <c r="D78" s="232" t="s">
        <v>315</v>
      </c>
      <c r="E78" s="43">
        <v>0.0</v>
      </c>
      <c r="F78" s="233">
        <v>1.0</v>
      </c>
      <c r="G78" s="232" t="s">
        <v>315</v>
      </c>
      <c r="H78" s="233">
        <v>0.0</v>
      </c>
      <c r="I78" s="232" t="s">
        <v>315</v>
      </c>
      <c r="J78" s="43">
        <v>0.0</v>
      </c>
      <c r="K78" s="43">
        <v>0.0</v>
      </c>
      <c r="L78" s="43">
        <v>0.0</v>
      </c>
      <c r="M78" s="233">
        <v>0.0</v>
      </c>
    </row>
    <row r="79">
      <c r="A79" s="1"/>
      <c r="B79" s="234" t="s">
        <v>316</v>
      </c>
      <c r="C79" s="235">
        <v>0.0</v>
      </c>
      <c r="D79" s="236" t="s">
        <v>316</v>
      </c>
      <c r="E79" s="235">
        <v>0.0</v>
      </c>
      <c r="F79" s="237">
        <v>1.0</v>
      </c>
      <c r="G79" s="236" t="s">
        <v>316</v>
      </c>
      <c r="H79" s="237">
        <v>0.0</v>
      </c>
      <c r="I79" s="236" t="s">
        <v>316</v>
      </c>
      <c r="J79" s="235">
        <v>0.0</v>
      </c>
      <c r="K79" s="235">
        <v>0.0</v>
      </c>
      <c r="L79" s="235">
        <v>0.0</v>
      </c>
      <c r="M79" s="237">
        <v>0.0</v>
      </c>
    </row>
    <row r="80">
      <c r="A80" s="1"/>
      <c r="B80" s="238" t="s">
        <v>317</v>
      </c>
      <c r="C80" s="239">
        <v>0.0</v>
      </c>
      <c r="D80" s="199" t="s">
        <v>317</v>
      </c>
      <c r="E80" s="239">
        <v>0.0</v>
      </c>
      <c r="F80" s="200">
        <v>0.0</v>
      </c>
      <c r="G80" s="199" t="s">
        <v>317</v>
      </c>
      <c r="H80" s="200">
        <v>0.0</v>
      </c>
      <c r="I80" s="199" t="s">
        <v>317</v>
      </c>
      <c r="J80" s="239">
        <v>0.0</v>
      </c>
      <c r="K80" s="239">
        <v>0.0</v>
      </c>
      <c r="L80" s="239">
        <v>0.0</v>
      </c>
      <c r="M80" s="200">
        <v>0.0</v>
      </c>
    </row>
    <row r="81">
      <c r="A81" s="1"/>
      <c r="B81" s="238" t="s">
        <v>318</v>
      </c>
      <c r="C81" s="239">
        <v>10.0</v>
      </c>
      <c r="D81" s="199" t="s">
        <v>318</v>
      </c>
      <c r="E81" s="239">
        <v>10.0</v>
      </c>
      <c r="F81" s="200">
        <v>6.0</v>
      </c>
      <c r="G81" s="199" t="s">
        <v>318</v>
      </c>
      <c r="H81" s="200">
        <v>10.0</v>
      </c>
      <c r="I81" s="199" t="s">
        <v>318</v>
      </c>
      <c r="J81" s="239">
        <v>10.0</v>
      </c>
      <c r="K81" s="239">
        <v>10.0</v>
      </c>
      <c r="L81" s="239">
        <v>9.0</v>
      </c>
      <c r="M81" s="200">
        <v>10.0</v>
      </c>
    </row>
    <row r="82">
      <c r="A82" s="1"/>
      <c r="B82" s="234" t="s">
        <v>319</v>
      </c>
      <c r="C82" s="235">
        <v>10.0</v>
      </c>
      <c r="D82" s="236" t="s">
        <v>319</v>
      </c>
      <c r="E82" s="235">
        <v>10.0</v>
      </c>
      <c r="F82" s="237">
        <v>6.0</v>
      </c>
      <c r="G82" s="236" t="s">
        <v>319</v>
      </c>
      <c r="H82" s="237">
        <v>10.0</v>
      </c>
      <c r="I82" s="236" t="s">
        <v>319</v>
      </c>
      <c r="J82" s="235">
        <v>10.0</v>
      </c>
      <c r="K82" s="235">
        <v>10.0</v>
      </c>
      <c r="L82" s="235">
        <v>9.0</v>
      </c>
      <c r="M82" s="237">
        <v>10.0</v>
      </c>
    </row>
    <row r="83">
      <c r="A83" s="1"/>
      <c r="B83" s="188" t="s">
        <v>320</v>
      </c>
      <c r="C83" s="189">
        <v>0.0</v>
      </c>
      <c r="D83" s="240" t="s">
        <v>321</v>
      </c>
      <c r="E83" s="189">
        <v>0.0</v>
      </c>
      <c r="F83" s="241">
        <v>0.0</v>
      </c>
      <c r="G83" s="240" t="s">
        <v>321</v>
      </c>
      <c r="H83" s="241">
        <v>0.0</v>
      </c>
      <c r="I83" s="240" t="s">
        <v>321</v>
      </c>
      <c r="J83" s="189">
        <v>0.0</v>
      </c>
      <c r="K83" s="189">
        <v>0.0</v>
      </c>
      <c r="L83" s="189">
        <v>0.0</v>
      </c>
      <c r="M83" s="241">
        <v>0.0</v>
      </c>
    </row>
    <row r="84">
      <c r="A84" s="1"/>
      <c r="B84" s="188" t="s">
        <v>322</v>
      </c>
      <c r="C84" s="189" t="s">
        <v>323</v>
      </c>
      <c r="D84" s="240" t="s">
        <v>324</v>
      </c>
      <c r="E84" s="189">
        <v>12.0</v>
      </c>
      <c r="F84" s="241">
        <v>5.0</v>
      </c>
      <c r="G84" s="240" t="s">
        <v>324</v>
      </c>
      <c r="H84" s="241">
        <v>0.0</v>
      </c>
      <c r="I84" s="240" t="s">
        <v>324</v>
      </c>
      <c r="J84" s="189">
        <v>0.0</v>
      </c>
      <c r="K84" s="189">
        <v>0.0</v>
      </c>
      <c r="L84" s="189">
        <v>0.0</v>
      </c>
      <c r="M84" s="241">
        <v>0.0</v>
      </c>
    </row>
    <row r="85">
      <c r="A85" s="1"/>
      <c r="B85" s="234" t="s">
        <v>325</v>
      </c>
      <c r="C85" s="235" t="s">
        <v>323</v>
      </c>
      <c r="D85" s="236" t="s">
        <v>325</v>
      </c>
      <c r="E85" s="235">
        <v>12.0</v>
      </c>
      <c r="F85" s="237">
        <v>5.0</v>
      </c>
      <c r="G85" s="236" t="s">
        <v>325</v>
      </c>
      <c r="H85" s="237">
        <v>0.0</v>
      </c>
      <c r="I85" s="236" t="s">
        <v>325</v>
      </c>
      <c r="J85" s="235">
        <v>0.0</v>
      </c>
      <c r="K85" s="235">
        <v>0.0</v>
      </c>
      <c r="L85" s="235">
        <v>0.0</v>
      </c>
      <c r="M85" s="237">
        <v>0.0</v>
      </c>
    </row>
    <row r="86">
      <c r="A86" s="1"/>
      <c r="B86" s="194" t="s">
        <v>326</v>
      </c>
      <c r="C86" s="119">
        <v>0.0</v>
      </c>
      <c r="D86" s="177" t="s">
        <v>327</v>
      </c>
      <c r="E86" s="242" t="s">
        <v>328</v>
      </c>
      <c r="F86" s="178" t="s">
        <v>328</v>
      </c>
      <c r="G86" s="177" t="s">
        <v>327</v>
      </c>
      <c r="H86" s="178" t="s">
        <v>328</v>
      </c>
      <c r="I86" s="166" t="s">
        <v>329</v>
      </c>
      <c r="J86" s="167">
        <v>0.0</v>
      </c>
      <c r="K86" s="167">
        <v>0.0</v>
      </c>
      <c r="L86" s="167">
        <v>0.0</v>
      </c>
      <c r="M86" s="168">
        <v>0.0</v>
      </c>
    </row>
    <row r="87">
      <c r="A87" s="1"/>
      <c r="B87" s="194" t="s">
        <v>330</v>
      </c>
      <c r="C87" s="119">
        <v>2.0</v>
      </c>
      <c r="D87" s="177" t="s">
        <v>331</v>
      </c>
      <c r="E87" s="242" t="s">
        <v>328</v>
      </c>
      <c r="F87" s="178" t="s">
        <v>328</v>
      </c>
      <c r="G87" s="177" t="s">
        <v>331</v>
      </c>
      <c r="H87" s="178" t="s">
        <v>328</v>
      </c>
      <c r="I87" s="166" t="s">
        <v>332</v>
      </c>
      <c r="J87" s="167">
        <v>0.0</v>
      </c>
      <c r="K87" s="167">
        <v>0.0</v>
      </c>
      <c r="L87" s="167">
        <v>0.0</v>
      </c>
      <c r="M87" s="168">
        <v>0.0</v>
      </c>
    </row>
    <row r="88">
      <c r="A88" s="1"/>
      <c r="B88" s="234" t="s">
        <v>333</v>
      </c>
      <c r="C88" s="235">
        <v>2.0</v>
      </c>
      <c r="D88" s="236" t="s">
        <v>334</v>
      </c>
      <c r="E88" s="235" t="s">
        <v>328</v>
      </c>
      <c r="F88" s="237" t="s">
        <v>328</v>
      </c>
      <c r="G88" s="236" t="s">
        <v>334</v>
      </c>
      <c r="H88" s="237" t="s">
        <v>328</v>
      </c>
      <c r="I88" s="236" t="s">
        <v>335</v>
      </c>
      <c r="J88" s="235">
        <v>0.0</v>
      </c>
      <c r="K88" s="235">
        <v>0.0</v>
      </c>
      <c r="L88" s="235">
        <v>0.0</v>
      </c>
      <c r="M88" s="237">
        <v>0.0</v>
      </c>
    </row>
    <row r="89">
      <c r="A89" s="1"/>
      <c r="B89" s="194" t="s">
        <v>336</v>
      </c>
      <c r="C89" s="119">
        <v>0.0</v>
      </c>
      <c r="D89" s="179" t="s">
        <v>337</v>
      </c>
      <c r="E89" s="243">
        <v>0.0</v>
      </c>
      <c r="F89" s="180">
        <v>0.0</v>
      </c>
      <c r="G89" s="199" t="s">
        <v>338</v>
      </c>
      <c r="H89" s="200">
        <v>0.0</v>
      </c>
      <c r="I89" s="177" t="s">
        <v>327</v>
      </c>
      <c r="J89" s="242" t="s">
        <v>328</v>
      </c>
      <c r="K89" s="242" t="s">
        <v>328</v>
      </c>
      <c r="L89" s="242" t="s">
        <v>328</v>
      </c>
      <c r="M89" s="178" t="s">
        <v>328</v>
      </c>
    </row>
    <row r="90">
      <c r="A90" s="1"/>
      <c r="B90" s="194" t="s">
        <v>339</v>
      </c>
      <c r="C90" s="119">
        <v>0.0</v>
      </c>
      <c r="D90" s="179" t="s">
        <v>340</v>
      </c>
      <c r="E90" s="243">
        <v>13.0</v>
      </c>
      <c r="F90" s="180">
        <v>10.0</v>
      </c>
      <c r="G90" s="199" t="s">
        <v>341</v>
      </c>
      <c r="H90" s="200">
        <v>13.0</v>
      </c>
      <c r="I90" s="177" t="s">
        <v>331</v>
      </c>
      <c r="J90" s="242" t="s">
        <v>328</v>
      </c>
      <c r="K90" s="242" t="s">
        <v>328</v>
      </c>
      <c r="L90" s="242" t="s">
        <v>328</v>
      </c>
      <c r="M90" s="178" t="s">
        <v>328</v>
      </c>
    </row>
    <row r="91">
      <c r="A91" s="1"/>
      <c r="B91" s="234" t="s">
        <v>342</v>
      </c>
      <c r="C91" s="235">
        <v>0.0</v>
      </c>
      <c r="D91" s="236" t="s">
        <v>343</v>
      </c>
      <c r="E91" s="235">
        <v>13.0</v>
      </c>
      <c r="F91" s="237">
        <v>10.0</v>
      </c>
      <c r="G91" s="236" t="s">
        <v>344</v>
      </c>
      <c r="H91" s="237">
        <v>13.0</v>
      </c>
      <c r="I91" s="236" t="s">
        <v>334</v>
      </c>
      <c r="J91" s="235" t="s">
        <v>328</v>
      </c>
      <c r="K91" s="235" t="s">
        <v>328</v>
      </c>
      <c r="L91" s="235" t="s">
        <v>328</v>
      </c>
      <c r="M91" s="237" t="s">
        <v>328</v>
      </c>
    </row>
    <row r="92">
      <c r="A92" s="1"/>
      <c r="B92" s="194" t="s">
        <v>345</v>
      </c>
      <c r="C92" s="119">
        <v>0.0</v>
      </c>
      <c r="D92" s="173" t="s">
        <v>346</v>
      </c>
      <c r="E92" s="181">
        <v>0.0</v>
      </c>
      <c r="F92" s="174">
        <v>0.0</v>
      </c>
      <c r="G92" s="199" t="s">
        <v>347</v>
      </c>
      <c r="H92" s="200">
        <v>0.0</v>
      </c>
      <c r="I92" s="166" t="s">
        <v>348</v>
      </c>
      <c r="J92" s="167">
        <v>0.0</v>
      </c>
      <c r="K92" s="167">
        <v>0.0</v>
      </c>
      <c r="L92" s="167">
        <v>0.0</v>
      </c>
      <c r="M92" s="168">
        <v>0.0</v>
      </c>
    </row>
    <row r="93">
      <c r="A93" s="1"/>
      <c r="B93" s="194" t="s">
        <v>349</v>
      </c>
      <c r="C93" s="119">
        <v>0.0</v>
      </c>
      <c r="D93" s="173" t="s">
        <v>350</v>
      </c>
      <c r="E93" s="181">
        <v>10.0</v>
      </c>
      <c r="F93" s="174">
        <v>4.0</v>
      </c>
      <c r="G93" s="199" t="s">
        <v>351</v>
      </c>
      <c r="H93" s="200">
        <v>0.0</v>
      </c>
      <c r="I93" s="166" t="s">
        <v>352</v>
      </c>
      <c r="J93" s="167">
        <v>4.0</v>
      </c>
      <c r="K93" s="167">
        <v>2.0</v>
      </c>
      <c r="L93" s="167">
        <v>3.0</v>
      </c>
      <c r="M93" s="168">
        <v>0.0</v>
      </c>
    </row>
    <row r="94">
      <c r="A94" s="1"/>
      <c r="B94" s="234" t="s">
        <v>353</v>
      </c>
      <c r="C94" s="235">
        <v>0.0</v>
      </c>
      <c r="D94" s="236" t="s">
        <v>354</v>
      </c>
      <c r="E94" s="235">
        <v>10.0</v>
      </c>
      <c r="F94" s="237">
        <v>4.0</v>
      </c>
      <c r="G94" s="236" t="s">
        <v>355</v>
      </c>
      <c r="H94" s="237">
        <v>0.0</v>
      </c>
      <c r="I94" s="236" t="s">
        <v>356</v>
      </c>
      <c r="J94" s="235">
        <v>4.0</v>
      </c>
      <c r="K94" s="235">
        <v>2.0</v>
      </c>
      <c r="L94" s="235">
        <v>3.0</v>
      </c>
      <c r="M94" s="237">
        <v>0.0</v>
      </c>
    </row>
    <row r="95">
      <c r="A95" s="1"/>
      <c r="B95" s="194" t="s">
        <v>357</v>
      </c>
      <c r="C95" s="119">
        <v>0.0</v>
      </c>
      <c r="D95" s="244" t="s">
        <v>358</v>
      </c>
      <c r="E95" s="31">
        <v>0.0</v>
      </c>
      <c r="F95" s="245">
        <v>0.0</v>
      </c>
      <c r="G95" s="164" t="s">
        <v>359</v>
      </c>
      <c r="H95" s="165">
        <v>0.0</v>
      </c>
      <c r="I95" s="96"/>
      <c r="J95" s="23"/>
      <c r="K95" s="23"/>
      <c r="L95" s="23"/>
      <c r="M95" s="95"/>
    </row>
    <row r="96">
      <c r="A96" s="1"/>
      <c r="B96" s="194" t="s">
        <v>360</v>
      </c>
      <c r="C96" s="119">
        <v>13.0</v>
      </c>
      <c r="D96" s="244" t="s">
        <v>361</v>
      </c>
      <c r="E96" s="31">
        <v>10.0</v>
      </c>
      <c r="F96" s="245">
        <v>6.0</v>
      </c>
      <c r="G96" s="164" t="s">
        <v>362</v>
      </c>
      <c r="H96" s="165">
        <v>0.0</v>
      </c>
      <c r="I96" s="96"/>
      <c r="J96" s="23"/>
      <c r="K96" s="23"/>
      <c r="L96" s="23"/>
      <c r="M96" s="95"/>
    </row>
    <row r="97">
      <c r="A97" s="1"/>
      <c r="B97" s="234" t="s">
        <v>363</v>
      </c>
      <c r="C97" s="235">
        <v>13.0</v>
      </c>
      <c r="D97" s="236" t="s">
        <v>364</v>
      </c>
      <c r="E97" s="235">
        <v>10.0</v>
      </c>
      <c r="F97" s="237">
        <v>6.0</v>
      </c>
      <c r="G97" s="236" t="s">
        <v>365</v>
      </c>
      <c r="H97" s="237">
        <v>0.0</v>
      </c>
      <c r="I97" s="96"/>
      <c r="J97" s="23"/>
      <c r="K97" s="23"/>
      <c r="L97" s="23"/>
      <c r="M97" s="95"/>
    </row>
    <row r="98">
      <c r="A98" s="1"/>
      <c r="B98" s="194" t="s">
        <v>366</v>
      </c>
      <c r="C98" s="119">
        <v>0.0</v>
      </c>
      <c r="D98" s="173" t="s">
        <v>367</v>
      </c>
      <c r="E98" s="181">
        <v>0.0</v>
      </c>
      <c r="F98" s="174">
        <v>0.0</v>
      </c>
      <c r="G98" s="164" t="s">
        <v>368</v>
      </c>
      <c r="H98" s="165">
        <v>0.0</v>
      </c>
      <c r="I98" s="96"/>
      <c r="J98" s="23"/>
      <c r="K98" s="23"/>
      <c r="L98" s="23"/>
      <c r="M98" s="95"/>
    </row>
    <row r="99">
      <c r="A99" s="1"/>
      <c r="B99" s="194" t="s">
        <v>369</v>
      </c>
      <c r="C99" s="119">
        <v>0.0</v>
      </c>
      <c r="D99" s="173" t="s">
        <v>370</v>
      </c>
      <c r="E99" s="181">
        <v>23.0</v>
      </c>
      <c r="F99" s="174">
        <v>13.0</v>
      </c>
      <c r="G99" s="164" t="s">
        <v>371</v>
      </c>
      <c r="H99" s="165">
        <v>0.0</v>
      </c>
      <c r="I99" s="96"/>
      <c r="J99" s="23"/>
      <c r="K99" s="23"/>
      <c r="L99" s="23"/>
      <c r="M99" s="95"/>
    </row>
    <row r="100">
      <c r="A100" s="1"/>
      <c r="B100" s="234" t="s">
        <v>372</v>
      </c>
      <c r="C100" s="235">
        <v>0.0</v>
      </c>
      <c r="D100" s="236" t="s">
        <v>373</v>
      </c>
      <c r="E100" s="235">
        <v>23.0</v>
      </c>
      <c r="F100" s="237">
        <v>13.0</v>
      </c>
      <c r="G100" s="236" t="s">
        <v>374</v>
      </c>
      <c r="H100" s="237">
        <v>0.0</v>
      </c>
      <c r="I100" s="96"/>
      <c r="J100" s="23"/>
      <c r="K100" s="23"/>
      <c r="L100" s="23"/>
      <c r="M100" s="95"/>
    </row>
    <row r="101">
      <c r="A101" s="1"/>
      <c r="B101" s="175" t="s">
        <v>359</v>
      </c>
      <c r="C101" s="176">
        <v>0.0</v>
      </c>
      <c r="D101" s="161" t="s">
        <v>375</v>
      </c>
      <c r="E101" s="162">
        <v>0.0</v>
      </c>
      <c r="F101" s="163">
        <v>0.0</v>
      </c>
      <c r="G101" s="96"/>
      <c r="H101" s="95"/>
      <c r="I101" s="96"/>
      <c r="J101" s="23"/>
      <c r="K101" s="23"/>
      <c r="L101" s="23"/>
      <c r="M101" s="95"/>
    </row>
    <row r="102">
      <c r="A102" s="1"/>
      <c r="B102" s="175" t="s">
        <v>362</v>
      </c>
      <c r="C102" s="176">
        <v>0.0</v>
      </c>
      <c r="D102" s="161" t="s">
        <v>376</v>
      </c>
      <c r="E102" s="162">
        <v>0.0</v>
      </c>
      <c r="F102" s="163">
        <v>0.0</v>
      </c>
      <c r="G102" s="96"/>
      <c r="H102" s="95"/>
      <c r="I102" s="96"/>
      <c r="J102" s="23"/>
      <c r="K102" s="23"/>
      <c r="L102" s="23"/>
      <c r="M102" s="95"/>
    </row>
    <row r="103">
      <c r="A103" s="1"/>
      <c r="B103" s="234" t="s">
        <v>365</v>
      </c>
      <c r="C103" s="235">
        <v>0.0</v>
      </c>
      <c r="D103" s="236" t="s">
        <v>377</v>
      </c>
      <c r="E103" s="235">
        <v>0.0</v>
      </c>
      <c r="F103" s="237">
        <v>0.0</v>
      </c>
      <c r="G103" s="96"/>
      <c r="H103" s="95"/>
      <c r="I103" s="96"/>
      <c r="J103" s="23"/>
      <c r="K103" s="23"/>
      <c r="L103" s="23"/>
      <c r="M103" s="95"/>
    </row>
    <row r="104">
      <c r="A104" s="1"/>
      <c r="B104" s="182" t="s">
        <v>378</v>
      </c>
      <c r="C104" s="183">
        <v>0.0</v>
      </c>
      <c r="D104" s="179" t="s">
        <v>379</v>
      </c>
      <c r="E104" s="243">
        <v>0.0</v>
      </c>
      <c r="F104" s="180">
        <v>0.0</v>
      </c>
      <c r="G104" s="96"/>
      <c r="H104" s="95"/>
      <c r="I104" s="96"/>
      <c r="J104" s="23"/>
      <c r="K104" s="23"/>
      <c r="L104" s="23"/>
      <c r="M104" s="95"/>
    </row>
    <row r="105">
      <c r="A105" s="1"/>
      <c r="B105" s="182" t="s">
        <v>380</v>
      </c>
      <c r="C105" s="183">
        <v>2.0</v>
      </c>
      <c r="D105" s="179" t="s">
        <v>381</v>
      </c>
      <c r="E105" s="243">
        <v>12.0</v>
      </c>
      <c r="F105" s="180">
        <v>7.0</v>
      </c>
      <c r="G105" s="96"/>
      <c r="H105" s="95"/>
      <c r="I105" s="96"/>
      <c r="J105" s="23"/>
      <c r="K105" s="23"/>
      <c r="L105" s="23"/>
      <c r="M105" s="95"/>
    </row>
    <row r="106">
      <c r="A106" s="1"/>
      <c r="B106" s="234" t="s">
        <v>382</v>
      </c>
      <c r="C106" s="235">
        <v>2.0</v>
      </c>
      <c r="D106" s="236" t="s">
        <v>383</v>
      </c>
      <c r="E106" s="235">
        <v>12.0</v>
      </c>
      <c r="F106" s="237">
        <v>7.0</v>
      </c>
      <c r="G106" s="96"/>
      <c r="H106" s="95"/>
      <c r="I106" s="96"/>
      <c r="J106" s="23"/>
      <c r="K106" s="23"/>
      <c r="L106" s="23"/>
      <c r="M106" s="95"/>
    </row>
    <row r="107">
      <c r="A107" s="1"/>
      <c r="B107" s="175" t="s">
        <v>384</v>
      </c>
      <c r="C107" s="176">
        <v>0.0</v>
      </c>
      <c r="D107" s="173" t="s">
        <v>385</v>
      </c>
      <c r="E107" s="181">
        <v>0.0</v>
      </c>
      <c r="F107" s="174">
        <v>0.0</v>
      </c>
      <c r="G107" s="96"/>
      <c r="H107" s="95"/>
      <c r="I107" s="96"/>
      <c r="J107" s="23"/>
      <c r="K107" s="23"/>
      <c r="L107" s="23"/>
      <c r="M107" s="95"/>
    </row>
    <row r="108">
      <c r="A108" s="1"/>
      <c r="B108" s="175" t="s">
        <v>386</v>
      </c>
      <c r="C108" s="176">
        <v>0.0</v>
      </c>
      <c r="D108" s="173" t="s">
        <v>387</v>
      </c>
      <c r="E108" s="181">
        <v>0.0</v>
      </c>
      <c r="F108" s="174">
        <v>0.0</v>
      </c>
      <c r="G108" s="96"/>
      <c r="H108" s="95"/>
      <c r="I108" s="96"/>
      <c r="J108" s="23"/>
      <c r="K108" s="23"/>
      <c r="L108" s="23"/>
      <c r="M108" s="95"/>
    </row>
    <row r="109">
      <c r="A109" s="1"/>
      <c r="B109" s="234" t="s">
        <v>388</v>
      </c>
      <c r="C109" s="235">
        <v>0.0</v>
      </c>
      <c r="D109" s="236" t="s">
        <v>389</v>
      </c>
      <c r="E109" s="235">
        <v>0.0</v>
      </c>
      <c r="F109" s="237">
        <v>0.0</v>
      </c>
      <c r="G109" s="96"/>
      <c r="H109" s="95"/>
      <c r="I109" s="96"/>
      <c r="J109" s="23"/>
      <c r="K109" s="23"/>
      <c r="L109" s="23"/>
      <c r="M109" s="95"/>
    </row>
    <row r="110">
      <c r="A110" s="246"/>
      <c r="B110" s="29"/>
      <c r="C110" s="29"/>
      <c r="D110" s="247"/>
      <c r="E110" s="29"/>
      <c r="F110" s="248"/>
      <c r="G110" s="247"/>
      <c r="H110" s="248"/>
      <c r="I110" s="247"/>
      <c r="J110" s="29"/>
      <c r="K110" s="29"/>
      <c r="L110" s="29"/>
      <c r="M110" s="248"/>
    </row>
    <row r="111">
      <c r="A111" s="55"/>
      <c r="B111" s="37"/>
      <c r="C111" s="53"/>
      <c r="D111" s="151"/>
      <c r="E111" s="53"/>
      <c r="F111" s="150"/>
      <c r="G111" s="151"/>
      <c r="H111" s="150"/>
      <c r="I111" s="151"/>
      <c r="J111" s="53"/>
      <c r="K111" s="53"/>
      <c r="L111" s="53"/>
      <c r="M111" s="150"/>
    </row>
  </sheetData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6" width="9.38"/>
  </cols>
  <sheetData>
    <row r="1" ht="19.5" customHeight="1">
      <c r="A1" s="1"/>
      <c r="B1" s="249" t="s">
        <v>3</v>
      </c>
      <c r="C1" s="250" t="s">
        <v>10</v>
      </c>
      <c r="D1" s="251" t="s">
        <v>12</v>
      </c>
      <c r="E1" s="252" t="s">
        <v>13</v>
      </c>
      <c r="F1" s="253" t="s">
        <v>16</v>
      </c>
    </row>
    <row r="2">
      <c r="A2" s="47" t="s">
        <v>69</v>
      </c>
      <c r="B2" s="63"/>
      <c r="C2" s="64"/>
      <c r="D2" s="65"/>
      <c r="E2" s="61"/>
      <c r="F2" s="65"/>
    </row>
    <row r="3">
      <c r="A3" s="66" t="s">
        <v>70</v>
      </c>
      <c r="B3" s="67"/>
      <c r="C3" s="68"/>
      <c r="D3" s="68"/>
      <c r="E3" s="69"/>
      <c r="F3" s="68"/>
    </row>
    <row r="4">
      <c r="A4" s="70" t="s">
        <v>71</v>
      </c>
      <c r="B4" s="76" t="s">
        <v>390</v>
      </c>
      <c r="C4" s="74" t="s">
        <v>391</v>
      </c>
      <c r="D4" s="74" t="s">
        <v>392</v>
      </c>
      <c r="E4" s="75" t="s">
        <v>393</v>
      </c>
      <c r="F4" s="74" t="s">
        <v>394</v>
      </c>
    </row>
    <row r="5">
      <c r="A5" s="70" t="s">
        <v>75</v>
      </c>
      <c r="B5" s="71"/>
      <c r="C5" s="72"/>
      <c r="D5" s="72"/>
      <c r="E5" s="75" t="s">
        <v>395</v>
      </c>
      <c r="F5" s="74" t="s">
        <v>396</v>
      </c>
    </row>
    <row r="6">
      <c r="A6" s="70" t="s">
        <v>84</v>
      </c>
      <c r="B6" s="71"/>
      <c r="C6" s="72"/>
      <c r="D6" s="72"/>
      <c r="E6" s="75" t="s">
        <v>397</v>
      </c>
      <c r="F6" s="72"/>
    </row>
    <row r="7">
      <c r="A7" s="70" t="s">
        <v>85</v>
      </c>
      <c r="B7" s="71"/>
      <c r="C7" s="72"/>
      <c r="D7" s="72"/>
      <c r="E7" s="73"/>
      <c r="F7" s="72"/>
    </row>
    <row r="8">
      <c r="A8" s="66" t="s">
        <v>86</v>
      </c>
      <c r="B8" s="77"/>
      <c r="C8" s="78"/>
      <c r="D8" s="78"/>
      <c r="E8" s="79"/>
      <c r="F8" s="78"/>
    </row>
    <row r="9">
      <c r="A9" s="66" t="s">
        <v>87</v>
      </c>
      <c r="B9" s="77"/>
      <c r="C9" s="78"/>
      <c r="D9" s="78"/>
      <c r="E9" s="82" t="s">
        <v>398</v>
      </c>
      <c r="F9" s="81" t="s">
        <v>399</v>
      </c>
    </row>
    <row r="10">
      <c r="A10" s="70" t="s">
        <v>95</v>
      </c>
      <c r="B10" s="83"/>
      <c r="C10" s="84"/>
      <c r="D10" s="84"/>
      <c r="E10" s="85"/>
      <c r="F10" s="84"/>
    </row>
    <row r="11">
      <c r="A11" s="70" t="s">
        <v>96</v>
      </c>
      <c r="B11" s="83"/>
      <c r="C11" s="84"/>
      <c r="D11" s="254" t="s">
        <v>400</v>
      </c>
      <c r="E11" s="85"/>
      <c r="F11" s="84"/>
    </row>
    <row r="12">
      <c r="A12" s="70" t="s">
        <v>97</v>
      </c>
      <c r="B12" s="86"/>
      <c r="C12" s="87"/>
      <c r="D12" s="87"/>
      <c r="E12" s="88"/>
      <c r="F12" s="87"/>
    </row>
    <row r="13">
      <c r="A13" s="70" t="s">
        <v>98</v>
      </c>
      <c r="B13" s="86"/>
      <c r="C13" s="87"/>
      <c r="D13" s="87"/>
      <c r="E13" s="88"/>
      <c r="F13" s="87"/>
    </row>
    <row r="14">
      <c r="A14" s="70" t="s">
        <v>99</v>
      </c>
      <c r="B14" s="86"/>
      <c r="C14" s="87"/>
      <c r="D14" s="87"/>
      <c r="E14" s="88"/>
      <c r="F14" s="87"/>
    </row>
    <row r="15">
      <c r="A15" s="70" t="s">
        <v>100</v>
      </c>
      <c r="B15" s="86"/>
      <c r="C15" s="87"/>
      <c r="D15" s="255" t="s">
        <v>400</v>
      </c>
      <c r="E15" s="88"/>
      <c r="F15" s="87"/>
    </row>
    <row r="16">
      <c r="A16" s="66" t="s">
        <v>101</v>
      </c>
      <c r="B16" s="89">
        <v>0.0</v>
      </c>
      <c r="C16" s="90">
        <v>0.0</v>
      </c>
      <c r="D16" s="90">
        <v>0.0</v>
      </c>
      <c r="E16" s="91">
        <v>0.0</v>
      </c>
      <c r="F16" s="90">
        <v>0.0</v>
      </c>
    </row>
    <row r="17">
      <c r="A17" s="66" t="s">
        <v>102</v>
      </c>
      <c r="B17" s="92">
        <v>0.0</v>
      </c>
      <c r="C17" s="93">
        <v>0.0</v>
      </c>
      <c r="D17" s="93">
        <v>0.0</v>
      </c>
      <c r="E17" s="94">
        <v>0.0</v>
      </c>
      <c r="F17" s="93">
        <v>0.0</v>
      </c>
    </row>
    <row r="18">
      <c r="A18" s="1"/>
      <c r="B18" s="95"/>
      <c r="C18" s="97"/>
      <c r="D18" s="96"/>
      <c r="E18" s="95"/>
      <c r="F18" s="96"/>
    </row>
    <row r="19">
      <c r="A19" s="24" t="s">
        <v>103</v>
      </c>
      <c r="B19" s="95"/>
      <c r="C19" s="97"/>
      <c r="D19" s="96"/>
      <c r="E19" s="95"/>
      <c r="F19" s="96"/>
    </row>
    <row r="20">
      <c r="A20" s="25" t="s">
        <v>401</v>
      </c>
      <c r="B20" s="256">
        <v>7.0</v>
      </c>
      <c r="C20" s="257"/>
      <c r="D20" s="258"/>
      <c r="E20" s="259"/>
      <c r="F20" s="258"/>
    </row>
    <row r="21">
      <c r="A21" s="25" t="s">
        <v>402</v>
      </c>
      <c r="B21" s="256"/>
      <c r="C21" s="257">
        <v>9.0</v>
      </c>
      <c r="D21" s="258">
        <v>14.0</v>
      </c>
      <c r="E21" s="259">
        <v>11.0</v>
      </c>
      <c r="F21" s="258">
        <v>4.0</v>
      </c>
    </row>
    <row r="22">
      <c r="A22" s="25" t="s">
        <v>403</v>
      </c>
      <c r="B22" s="256"/>
      <c r="C22" s="257">
        <v>9.0</v>
      </c>
      <c r="D22" s="258"/>
      <c r="E22" s="259"/>
      <c r="F22" s="258"/>
    </row>
    <row r="23">
      <c r="A23" s="25" t="s">
        <v>404</v>
      </c>
      <c r="B23" s="98"/>
      <c r="C23" s="101"/>
      <c r="D23" s="99"/>
      <c r="E23" s="100"/>
      <c r="F23" s="99">
        <v>2.0</v>
      </c>
    </row>
    <row r="24">
      <c r="A24" s="103" t="s">
        <v>106</v>
      </c>
      <c r="B24" s="104"/>
      <c r="C24" s="107"/>
      <c r="D24" s="105"/>
      <c r="E24" s="106">
        <v>9.0</v>
      </c>
      <c r="F24" s="105"/>
    </row>
    <row r="25">
      <c r="A25" s="103" t="s">
        <v>107</v>
      </c>
      <c r="B25" s="109"/>
      <c r="C25" s="112"/>
      <c r="D25" s="110"/>
      <c r="E25" s="111"/>
      <c r="F25" s="110">
        <v>6.0</v>
      </c>
    </row>
    <row r="26">
      <c r="A26" s="103" t="s">
        <v>405</v>
      </c>
      <c r="B26" s="109"/>
      <c r="C26" s="112"/>
      <c r="D26" s="110"/>
      <c r="E26" s="111">
        <v>1.0</v>
      </c>
      <c r="F26" s="110"/>
    </row>
    <row r="27">
      <c r="A27" s="1"/>
      <c r="B27" s="95"/>
      <c r="C27" s="97"/>
      <c r="D27" s="96"/>
      <c r="E27" s="95"/>
      <c r="F27" s="96"/>
    </row>
    <row r="28">
      <c r="A28" s="24" t="s">
        <v>108</v>
      </c>
      <c r="B28" s="95"/>
      <c r="C28" s="97"/>
      <c r="D28" s="96"/>
      <c r="E28" s="95"/>
      <c r="F28" s="96"/>
    </row>
    <row r="29">
      <c r="A29" s="114" t="s">
        <v>109</v>
      </c>
      <c r="B29" s="115">
        <f>HYPERLINK("https://classic.warcraftlogs.com/reports/GPAaJQBnF19VLft4#type=damage-taken&amp;filter=encounterid%20%21%3D%20724&amp;options=4098&amp;by=ability&amp;translate=true&amp;boss=-2&amp;wipes=2&amp;difficulty=0&amp;source=31&amp;view=events&amp;pins=2%24Off%24%23244F4B%24expression%24ability.id%20IN"&amp;"%20(37641)",9855)</f>
        <v>9855</v>
      </c>
      <c r="C29" s="124"/>
      <c r="D29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(37641)",45580)</f>
        <v>45580</v>
      </c>
      <c r="E29" s="117"/>
      <c r="F29" s="116">
        <f>HYPERLINK("https://classic.warcraftlogs.com/reports/GPAaJQBnF19VLft4#type=damage-taken&amp;filter=encounterid%20%21%3D%20724&amp;options=4098&amp;by=ability&amp;translate=true&amp;boss=-2&amp;wipes=2&amp;difficulty=0&amp;source=37&amp;view=events&amp;pins=2%24Off%24%23244F4B%24expression%24ability.id%20IN"&amp;"%20(37641)",12825)</f>
        <v>12825</v>
      </c>
    </row>
    <row r="30">
      <c r="A30" s="114" t="s">
        <v>110</v>
      </c>
      <c r="B30" s="115">
        <f>HYPERLINK("https://classic.warcraftlogs.com/reports/GPAaJQBnF19VLft4#type=damage-taken&amp;filter=encounterid%20%21%3D%20724&amp;options=4098&amp;by=ability&amp;translate=true&amp;boss=-2&amp;wipes=2&amp;difficulty=0&amp;source=31&amp;view=events&amp;pins=2%24Off%24%23244F4B%24expression%24ability.id%20IN"&amp;"%20(37284)",4958)</f>
        <v>4958</v>
      </c>
      <c r="C30" s="118">
        <f>HYPERLINK("https://classic.warcraftlogs.com/reports/GPAaJQBnF19VLft4#type=damage-taken&amp;filter=encounterid%20%21%3D%20724&amp;options=4098&amp;by=ability&amp;translate=true&amp;boss=-2&amp;wipes=2&amp;difficulty=0&amp;source=40&amp;view=events&amp;pins=2%24Off%24%23244F4B%24expression%24ability.id%20IN"&amp;"%20(37284)",2500)</f>
        <v>2500</v>
      </c>
      <c r="D30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(37284)",4999)</f>
        <v>4999</v>
      </c>
      <c r="E30" s="123">
        <f>HYPERLINK("https://classic.warcraftlogs.com/reports/GPAaJQBnF19VLft4#type=damage-taken&amp;filter=encounterid%20%21%3D%20724&amp;options=4098&amp;by=ability&amp;translate=true&amp;boss=-2&amp;wipes=2&amp;difficulty=0&amp;source=26&amp;view=events&amp;pins=2%24Off%24%23244F4B%24expression%24ability.id%20IN"&amp;"%20(37284)",2000)</f>
        <v>2000</v>
      </c>
      <c r="F30" s="116">
        <f>HYPERLINK("https://classic.warcraftlogs.com/reports/GPAaJQBnF19VLft4#type=damage-taken&amp;filter=encounterid%20%21%3D%20724&amp;options=4098&amp;by=ability&amp;translate=true&amp;boss=-2&amp;wipes=2&amp;difficulty=0&amp;source=37&amp;view=events&amp;pins=2%24Off%24%23244F4B%24expression%24ability.id%20IN"&amp;"%20(37284)",3500)</f>
        <v>3500</v>
      </c>
    </row>
    <row r="31">
      <c r="A31" s="114" t="s">
        <v>111</v>
      </c>
      <c r="B31" s="115">
        <f>HYPERLINK("https://classic.warcraftlogs.com/reports/GPAaJQBnF19VLft4#type=damage-taken&amp;filter=encounterid%20%21%3D%20724&amp;options=4098&amp;by=ability&amp;translate=true&amp;boss=-2&amp;wipes=2&amp;difficulty=0&amp;source=31&amp;view=events&amp;pins=2%24Off%24%23244F4B%24expression%24ability.id%20IN"&amp;"%20(3)",10788)</f>
        <v>10788</v>
      </c>
      <c r="C31" s="118">
        <f>HYPERLINK("https://classic.warcraftlogs.com/reports/GPAaJQBnF19VLft4#type=damage-taken&amp;filter=encounterid%20%21%3D%20724&amp;options=4098&amp;by=ability&amp;translate=true&amp;boss=-2&amp;wipes=2&amp;difficulty=0&amp;source=40&amp;view=events&amp;pins=2%24Off%24%23244F4B%24expression%24ability.id%20IN"&amp;"%20(3)",1883)</f>
        <v>1883</v>
      </c>
      <c r="D31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(3)",8681)</f>
        <v>8681</v>
      </c>
      <c r="E31" s="123">
        <f>HYPERLINK("https://classic.warcraftlogs.com/reports/GPAaJQBnF19VLft4#type=damage-taken&amp;filter=encounterid%20%21%3D%20724&amp;options=4098&amp;by=ability&amp;translate=true&amp;boss=-2&amp;wipes=2&amp;difficulty=0&amp;source=26&amp;view=events&amp;pins=2%24Off%24%23244F4B%24expression%24ability.id%20IN"&amp;"%20(3)",2257)</f>
        <v>2257</v>
      </c>
      <c r="F31" s="116">
        <f>HYPERLINK("https://classic.warcraftlogs.com/reports/GPAaJQBnF19VLft4#type=damage-taken&amp;filter=encounterid%20%21%3D%20724&amp;options=4098&amp;by=ability&amp;translate=true&amp;boss=-2&amp;wipes=2&amp;difficulty=0&amp;source=37&amp;view=events&amp;pins=2%24Off%24%23244F4B%24expression%24ability.id%20IN"&amp;"%20(3)",12255)</f>
        <v>12255</v>
      </c>
    </row>
    <row r="32">
      <c r="A32" s="114" t="s">
        <v>112</v>
      </c>
      <c r="B32" s="115">
        <f>HYPERLINK("https://classic.warcraftlogs.com/reports/GPAaJQBnF19VLft4#type=damage-taken&amp;filter=encounterid%20%21%3D%20724&amp;options=4098&amp;by=ability&amp;translate=true&amp;boss=-2&amp;wipes=2&amp;difficulty=0&amp;source=31&amp;view=events&amp;pins=2%24Off%24%23244F4B%24expression%24ability.id%20IN"&amp;"%20(35383)",2690)</f>
        <v>2690</v>
      </c>
      <c r="C32" s="118">
        <f>HYPERLINK("https://classic.warcraftlogs.com/reports/GPAaJQBnF19VLft4#type=damage-taken&amp;filter=encounterid%20%21%3D%20724&amp;options=4098&amp;by=ability&amp;translate=true&amp;boss=-2&amp;wipes=2&amp;difficulty=0&amp;source=40&amp;view=events&amp;pins=2%24Off%24%23244F4B%24expression%24ability.id%20IN"&amp;"%20(35383)",5613)</f>
        <v>5613</v>
      </c>
      <c r="D32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(35383)",2572)</f>
        <v>2572</v>
      </c>
      <c r="E32" s="123">
        <f>HYPERLINK("https://classic.warcraftlogs.com/reports/GPAaJQBnF19VLft4#type=damage-taken&amp;filter=encounterid%20%21%3D%20724&amp;options=4098&amp;by=ability&amp;translate=true&amp;boss=-2&amp;wipes=2&amp;difficulty=0&amp;source=26&amp;view=events&amp;pins=2%24Off%24%23244F4B%24expression%24ability.id%20IN"&amp;"%20(35383)",5142)</f>
        <v>5142</v>
      </c>
      <c r="F32" s="121"/>
    </row>
    <row r="33">
      <c r="A33" s="114" t="s">
        <v>113</v>
      </c>
      <c r="B33" s="122"/>
      <c r="C33" s="118">
        <f>HYPERLINK("https://classic.warcraftlogs.com/reports/GPAaJQBnF19VLft4#type=damage-taken&amp;filter=encounterid%20%21%3D%20724&amp;options=4098&amp;by=ability&amp;translate=true&amp;boss=-2&amp;wipes=2&amp;difficulty=0&amp;source=40&amp;view=events&amp;pins=2%24Off%24%23244F4B%24expression%24ability.id%20IN"&amp;"%20(36731)",3000)</f>
        <v>3000</v>
      </c>
      <c r="D33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(36731)",5994)</f>
        <v>5994</v>
      </c>
      <c r="E33" s="117"/>
      <c r="F33" s="121"/>
    </row>
    <row r="34">
      <c r="A34" s="114" t="s">
        <v>114</v>
      </c>
      <c r="B34" s="115">
        <f>HYPERLINK("https://classic.warcraftlogs.com/reports/GPAaJQBnF19VLft4#type=damage-taken&amp;filter=encounterid%20%21%3D%20724&amp;options=4098&amp;by=ability&amp;translate=true&amp;boss=-2&amp;wipes=2&amp;difficulty=0&amp;source=31&amp;view=events&amp;pins=2%24Off%24%23244F4B%24expression%24ability.id%20IN"&amp;"%20(360327)",5792)</f>
        <v>5792</v>
      </c>
      <c r="C34" s="124"/>
      <c r="D34" s="121"/>
      <c r="E34" s="117"/>
      <c r="F34" s="121"/>
    </row>
    <row r="35">
      <c r="A35" s="114" t="s">
        <v>406</v>
      </c>
      <c r="B35" s="122"/>
      <c r="C35" s="124"/>
      <c r="D35" s="116">
        <f>HYPERLINK("https://classic.warcraftlogs.com/reports/GPAaJQBnF19VLft4#type=damage-taken&amp;filter=encounterid%20%21%3D%20724&amp;options=4098&amp;by=ability&amp;translate=true&amp;boss=-2&amp;wipes=2&amp;difficulty=0&amp;source=2&amp;view=events&amp;pins=2%24Off%24%23244F4B%24expression%24ability.id%20IN%"&amp;"20(37433)",10926)</f>
        <v>10926</v>
      </c>
      <c r="E35" s="117"/>
      <c r="F35" s="121"/>
    </row>
    <row r="36">
      <c r="A36" s="114" t="s">
        <v>117</v>
      </c>
      <c r="B36" s="131"/>
      <c r="C36" s="134">
        <f>HYPERLINK("https://classic.warcraftlogs.com/reports/GPAaJQBnF19VLft4#type=damage-taken&amp;pins=2%24Off%24%23244F4B%24expression%24NOT%20IN%20RANGE%20FROM%20type%20%3D%20%22applydebuff%22%20AND%20ability.id%20%3D%20%2229546%22%20AND%20target.name%3D%22Squarehammer%22%20"&amp;"TO%20type%20%3D%20%22removedebuff%22%20and%20ability.id%3D%2229546%22%20AND%20target.name%3D%22Squarehammer%22%20END%20AND%20NOT%20IN%20RANGE%20FROM%20type%20%3D%20%22applydebuff%22%20AND%20ability.id%20%3D%20%2245717%22%20AND%20target.name%3D%22Squareham"&amp;"mer%22%20TO%20type%20%3D%20%22removedebuff%22%20and%20ability.id%3D%2245717%22%20AND%20target.name%3D%22Squarehammer%22%20END%20AND%20NOT%20IN%20RANGE%20FROM%20type%20%3D%20%22applydebuff%22%20AND%20ability.id%20%3D%20%2237122%22%20AND%20target.name%3D%22"&amp;"Squarehammer%22%20TO%20type%20%3D%20%22removedebuff%22%20and%20ability.id%3D%2237122%22%20AND%20target.name%3D%22Squarehammer%22%20END%20AND%20NOT%20IN%20RANGE%20FROM%20type%20%3D%20%22applydebuff%22%20AND%20ability.id%20%3D%20%2237135%22%20AND%20target.n"&amp;"ame%3D%22Squarehammer%22%20TO%20type%20%3D%20%22removedebuff%22%20and%20ability.id%3D%2237135%22%20AND%20target.name%3D%22Squarehammer%22%20END%20AND%20NOT%20IN%20RANGE%20FROM%20type%20%3D%20%22applydebuff%22%20AND%20ability.id%20%3D%20%2241345%22%20AND%2"&amp;"0target.name%3D%22Squarehammer%22%20TO%20type%20%3D%20%22removedebuff%22%20and%20ability.id%3D%2241345%22%20AND%20target.name%3D%22Squarehammer%22%20END%20AND%20NOT%20IN%20RANGE%20FROM%20type%20%3D%20%22applydebuff%22%20AND%20ability.id%20%3D%20%2243361%2"&amp;"2%20AND%20target.name%3D%22Squarehammer%22%20TO%20type%20%3D%20%22removedebuff%22%20and%20ability.id%3D%2243361%22%20AND%20target.name%3D%22Squarehammer%22%20END%20AND%20encounterid%20%21%3D%20724%20AND%20ability.id%20%21%3D%2046768%20&amp;options=4135&amp;by=tar"&amp;"get&amp;translate=true&amp;boss=-2&amp;wipes=2&amp;difficulty=0&amp;view=events&amp;target=40",3586)</f>
        <v>3586</v>
      </c>
      <c r="D36" s="132"/>
      <c r="E36" s="260">
        <f>HYPERLINK("https://classic.warcraftlogs.com/reports/GPAaJQBnF19VLft4#type=damage-taken&amp;pins=2%24Off%24%23244F4B%24expression%24NOT%20IN%20RANGE%20FROM%20type%20%3D%20%22applydebuff%22%20AND%20ability.id%20%3D%20%2229546%22%20AND%20target.name%3D%22Mynxx%22%20TO%20ty"&amp;"pe%20%3D%20%22removedebuff%22%20and%20ability.id%3D%2229546%22%20AND%20target.name%3D%22Mynxx%22%20END%20AND%20NOT%20IN%20RANGE%20FROM%20type%20%3D%20%22applydebuff%22%20AND%20ability.id%20%3D%20%2245717%22%20AND%20target.name%3D%22Mynxx%22%20TO%20type%20"&amp;"%3D%20%22removedebuff%22%20and%20ability.id%3D%2245717%22%20AND%20target.name%3D%22Mynxx%22%20END%20AND%20NOT%20IN%20RANGE%20FROM%20type%20%3D%20%22applydebuff%22%20AND%20ability.id%20%3D%20%2237122%22%20AND%20target.name%3D%22Mynxx%22%20TO%20type%20%3D%2"&amp;"0%22removedebuff%22%20and%20ability.id%3D%2237122%22%20AND%20target.name%3D%22Mynxx%22%20END%20AND%20NOT%20IN%20RANGE%20FROM%20type%20%3D%20%22applydebuff%22%20AND%20ability.id%20%3D%20%2237135%22%20AND%20target.name%3D%22Mynxx%22%20TO%20type%20%3D%20%22r"&amp;"emovedebuff%22%20and%20ability.id%3D%2237135%22%20AND%20target.name%3D%22Mynxx%22%20END%20AND%20NOT%20IN%20RANGE%20FROM%20type%20%3D%20%22applydebuff%22%20AND%20ability.id%20%3D%20%2241345%22%20AND%20target.name%3D%22Mynxx%22%20TO%20type%20%3D%20%22remove"&amp;"debuff%22%20and%20ability.id%3D%2241345%22%20AND%20target.name%3D%22Mynxx%22%20END%20AND%20NOT%20IN%20RANGE%20FROM%20type%20%3D%20%22applydebuff%22%20AND%20ability.id%20%3D%20%2243361%22%20AND%20target.name%3D%22Mynxx%22%20TO%20type%20%3D%20%22removedebuf"&amp;"f%22%20and%20ability.id%3D%2243361%22%20AND%20target.name%3D%22Mynxx%22%20END%20AND%20encounterid%20%21%3D%20724%20AND%20ability.id%20%21%3D%2046768%20&amp;options=4135&amp;by=target&amp;translate=true&amp;boss=-2&amp;wipes=2&amp;difficulty=0&amp;view=events&amp;target=26",3466)</f>
        <v>3466</v>
      </c>
      <c r="F36" s="132"/>
    </row>
    <row r="37">
      <c r="A37" s="114" t="s">
        <v>118</v>
      </c>
      <c r="B37" s="137">
        <v>2.0</v>
      </c>
      <c r="C37" s="140">
        <v>0.0</v>
      </c>
      <c r="D37" s="138">
        <v>6.0</v>
      </c>
      <c r="E37" s="139">
        <v>1.0</v>
      </c>
      <c r="F37" s="138">
        <v>1.0</v>
      </c>
    </row>
    <row r="38">
      <c r="A38" s="114" t="s">
        <v>119</v>
      </c>
      <c r="B38" s="142">
        <v>34083.0</v>
      </c>
      <c r="C38" s="145">
        <v>16582.0</v>
      </c>
      <c r="D38" s="143">
        <v>78752.0</v>
      </c>
      <c r="E38" s="144">
        <v>12865.0</v>
      </c>
      <c r="F38" s="143">
        <v>28580.0</v>
      </c>
    </row>
    <row r="39">
      <c r="A39" s="114"/>
      <c r="B39" s="146">
        <f>34083/MAX(B38:F38,1)</f>
        <v>0.4327890085</v>
      </c>
      <c r="C39" s="148">
        <f>16582/MAX(B38:F38,1)</f>
        <v>0.2105597318</v>
      </c>
      <c r="D39" s="147">
        <f>78752/MAX(B38:F38,1)</f>
        <v>1</v>
      </c>
      <c r="E39" s="146">
        <f>12865/MAX(B38:F38,1)</f>
        <v>0.1633609305</v>
      </c>
      <c r="F39" s="147">
        <f>28580/MAX(B38:F38,1)</f>
        <v>0.3629114181</v>
      </c>
    </row>
    <row r="40">
      <c r="A40" s="24" t="s">
        <v>120</v>
      </c>
      <c r="B40" s="95"/>
      <c r="C40" s="97"/>
      <c r="D40" s="96"/>
      <c r="E40" s="95"/>
      <c r="F40" s="96"/>
    </row>
    <row r="41">
      <c r="A41" s="114" t="s">
        <v>122</v>
      </c>
      <c r="B41" s="122"/>
      <c r="C41" s="124"/>
      <c r="D41" s="121">
        <v>1.0</v>
      </c>
      <c r="E41" s="117"/>
      <c r="F41" s="121">
        <v>1.0</v>
      </c>
    </row>
    <row r="42">
      <c r="A42" s="114"/>
      <c r="B42" s="95"/>
      <c r="C42" s="97"/>
      <c r="D42" s="96"/>
      <c r="E42" s="95"/>
      <c r="F42" s="96"/>
    </row>
    <row r="43">
      <c r="A43" s="55"/>
      <c r="B43" s="150"/>
      <c r="C43" s="152"/>
      <c r="D43" s="151"/>
      <c r="E43" s="150"/>
      <c r="F43" s="151"/>
    </row>
  </sheetData>
  <conditionalFormatting sqref="B29:F38">
    <cfRule type="expression" dxfId="0" priority="1" stopIfTrue="1">
      <formula>(B29/AVERAGE($B29:$F29))&gt;1.75</formula>
    </cfRule>
  </conditionalFormatting>
  <conditionalFormatting sqref="B29:F38">
    <cfRule type="expression" dxfId="1" priority="2" stopIfTrue="1">
      <formula>(B29/AVERAGE($B29:$F29))&gt;1.25</formula>
    </cfRule>
  </conditionalFormatting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50.13"/>
    <col customWidth="1" min="3" max="3" width="9.38"/>
    <col customWidth="1" min="4" max="4" width="50.13"/>
    <col customWidth="1" min="5" max="5" width="9.38"/>
    <col customWidth="1" min="6" max="6" width="50.13"/>
    <col customWidth="1" min="7" max="8" width="9.38"/>
    <col customWidth="1" min="9" max="9" width="50.13"/>
    <col customWidth="1" min="10" max="10" width="9.38"/>
  </cols>
  <sheetData>
    <row r="1" ht="19.5" customHeight="1">
      <c r="A1" s="1"/>
      <c r="B1" s="153" t="s">
        <v>123</v>
      </c>
      <c r="C1" s="261" t="s">
        <v>3</v>
      </c>
      <c r="D1" s="154" t="s">
        <v>407</v>
      </c>
      <c r="E1" s="11" t="s">
        <v>10</v>
      </c>
      <c r="F1" s="154" t="s">
        <v>408</v>
      </c>
      <c r="G1" s="13" t="s">
        <v>12</v>
      </c>
      <c r="H1" s="252" t="s">
        <v>13</v>
      </c>
      <c r="I1" s="154" t="s">
        <v>125</v>
      </c>
      <c r="J1" s="17" t="s">
        <v>16</v>
      </c>
    </row>
    <row r="2">
      <c r="A2" s="24" t="s">
        <v>127</v>
      </c>
      <c r="B2" s="23"/>
      <c r="C2" s="158"/>
      <c r="D2" s="96"/>
      <c r="E2" s="157"/>
      <c r="F2" s="96"/>
      <c r="G2" s="157"/>
      <c r="H2" s="158"/>
      <c r="I2" s="96"/>
      <c r="J2" s="157"/>
    </row>
    <row r="3">
      <c r="A3" s="1"/>
      <c r="B3" s="159" t="s">
        <v>128</v>
      </c>
      <c r="C3" s="170">
        <v>0.0</v>
      </c>
      <c r="D3" s="161" t="s">
        <v>409</v>
      </c>
      <c r="E3" s="162">
        <v>5.0</v>
      </c>
      <c r="F3" s="166" t="s">
        <v>410</v>
      </c>
      <c r="G3" s="167">
        <v>0.0</v>
      </c>
      <c r="H3" s="168">
        <v>0.0</v>
      </c>
      <c r="I3" s="164" t="s">
        <v>131</v>
      </c>
      <c r="J3" s="176">
        <v>3.0</v>
      </c>
    </row>
    <row r="4">
      <c r="A4" s="1"/>
      <c r="B4" s="159" t="s">
        <v>133</v>
      </c>
      <c r="C4" s="170">
        <v>0.0</v>
      </c>
      <c r="D4" s="161" t="s">
        <v>411</v>
      </c>
      <c r="E4" s="162">
        <v>0.0</v>
      </c>
      <c r="F4" s="166" t="s">
        <v>412</v>
      </c>
      <c r="G4" s="167">
        <v>0.0</v>
      </c>
      <c r="H4" s="168">
        <v>0.0</v>
      </c>
      <c r="I4" s="169" t="s">
        <v>135</v>
      </c>
      <c r="J4" s="160">
        <v>5.0</v>
      </c>
    </row>
    <row r="5">
      <c r="A5" s="1"/>
      <c r="B5" s="171" t="s">
        <v>137</v>
      </c>
      <c r="C5" s="262">
        <v>0.0</v>
      </c>
      <c r="D5" s="161" t="s">
        <v>413</v>
      </c>
      <c r="E5" s="162">
        <v>0.0</v>
      </c>
      <c r="F5" s="166" t="s">
        <v>414</v>
      </c>
      <c r="G5" s="167">
        <v>0.0</v>
      </c>
      <c r="H5" s="168">
        <v>0.0</v>
      </c>
      <c r="I5" s="173" t="s">
        <v>139</v>
      </c>
      <c r="J5" s="181">
        <v>1.0</v>
      </c>
    </row>
    <row r="6">
      <c r="A6" s="1"/>
      <c r="B6" s="171" t="s">
        <v>141</v>
      </c>
      <c r="C6" s="262">
        <v>0.0</v>
      </c>
      <c r="D6" s="161" t="s">
        <v>415</v>
      </c>
      <c r="E6" s="162">
        <v>0.0</v>
      </c>
      <c r="F6" s="166" t="s">
        <v>416</v>
      </c>
      <c r="G6" s="167">
        <v>0.0</v>
      </c>
      <c r="H6" s="168">
        <v>0.0</v>
      </c>
      <c r="I6" s="164" t="s">
        <v>142</v>
      </c>
      <c r="J6" s="176">
        <v>0.0</v>
      </c>
    </row>
    <row r="7">
      <c r="A7" s="1"/>
      <c r="B7" s="175" t="s">
        <v>144</v>
      </c>
      <c r="C7" s="165">
        <v>0.0</v>
      </c>
      <c r="D7" s="161" t="s">
        <v>417</v>
      </c>
      <c r="E7" s="162">
        <v>0.0</v>
      </c>
      <c r="F7" s="166" t="s">
        <v>418</v>
      </c>
      <c r="G7" s="167">
        <v>0.0</v>
      </c>
      <c r="H7" s="168">
        <v>0.0</v>
      </c>
      <c r="I7" s="164" t="s">
        <v>147</v>
      </c>
      <c r="J7" s="176">
        <v>0.0</v>
      </c>
    </row>
    <row r="8">
      <c r="A8" s="1"/>
      <c r="B8" s="175" t="s">
        <v>149</v>
      </c>
      <c r="C8" s="165">
        <v>0.0</v>
      </c>
      <c r="D8" s="232" t="s">
        <v>419</v>
      </c>
      <c r="E8" s="43">
        <v>4.0</v>
      </c>
      <c r="F8" s="166" t="s">
        <v>420</v>
      </c>
      <c r="G8" s="167">
        <v>0.0</v>
      </c>
      <c r="H8" s="168" t="s">
        <v>421</v>
      </c>
      <c r="I8" s="164" t="s">
        <v>152</v>
      </c>
      <c r="J8" s="176">
        <v>0.0</v>
      </c>
    </row>
    <row r="9">
      <c r="A9" s="1"/>
      <c r="B9" s="175" t="s">
        <v>154</v>
      </c>
      <c r="C9" s="165">
        <v>0.0</v>
      </c>
      <c r="D9" s="232" t="s">
        <v>422</v>
      </c>
      <c r="E9" s="43">
        <v>0.0</v>
      </c>
      <c r="F9" s="166" t="s">
        <v>423</v>
      </c>
      <c r="G9" s="167">
        <v>0.0</v>
      </c>
      <c r="H9" s="168">
        <v>0.0</v>
      </c>
      <c r="I9" s="177" t="s">
        <v>156</v>
      </c>
      <c r="J9" s="242">
        <v>0.0</v>
      </c>
    </row>
    <row r="10">
      <c r="A10" s="1"/>
      <c r="B10" s="175" t="s">
        <v>159</v>
      </c>
      <c r="C10" s="165">
        <v>0.0</v>
      </c>
      <c r="D10" s="232" t="s">
        <v>424</v>
      </c>
      <c r="E10" s="43">
        <v>3.0</v>
      </c>
      <c r="F10" s="166" t="s">
        <v>425</v>
      </c>
      <c r="G10" s="167">
        <v>0.0</v>
      </c>
      <c r="H10" s="168">
        <v>0.0</v>
      </c>
      <c r="I10" s="179" t="s">
        <v>161</v>
      </c>
      <c r="J10" s="243">
        <v>0.0</v>
      </c>
    </row>
    <row r="11">
      <c r="A11" s="1"/>
      <c r="B11" s="175" t="s">
        <v>164</v>
      </c>
      <c r="C11" s="165">
        <v>0.0</v>
      </c>
      <c r="D11" s="232" t="s">
        <v>426</v>
      </c>
      <c r="E11" s="43">
        <v>0.0</v>
      </c>
      <c r="F11" s="166" t="s">
        <v>427</v>
      </c>
      <c r="G11" s="167">
        <v>0.0</v>
      </c>
      <c r="H11" s="168">
        <v>0.0</v>
      </c>
      <c r="I11" s="169" t="s">
        <v>168</v>
      </c>
      <c r="J11" s="160">
        <v>6.0</v>
      </c>
    </row>
    <row r="12">
      <c r="A12" s="1"/>
      <c r="B12" s="182" t="s">
        <v>170</v>
      </c>
      <c r="C12" s="263">
        <v>0.0</v>
      </c>
      <c r="D12" s="232" t="s">
        <v>428</v>
      </c>
      <c r="E12" s="43">
        <v>0.0</v>
      </c>
      <c r="F12" s="195" t="s">
        <v>429</v>
      </c>
      <c r="G12" s="264">
        <v>0.0</v>
      </c>
      <c r="H12" s="196">
        <v>0.0</v>
      </c>
      <c r="I12" s="169" t="s">
        <v>172</v>
      </c>
      <c r="J12" s="160">
        <v>0.0</v>
      </c>
    </row>
    <row r="13">
      <c r="A13" s="1"/>
      <c r="B13" s="175" t="s">
        <v>174</v>
      </c>
      <c r="C13" s="165">
        <v>2.0</v>
      </c>
      <c r="D13" s="232" t="s">
        <v>430</v>
      </c>
      <c r="E13" s="43">
        <v>0.0</v>
      </c>
      <c r="F13" s="195" t="s">
        <v>431</v>
      </c>
      <c r="G13" s="264">
        <v>0.0</v>
      </c>
      <c r="H13" s="196">
        <v>0.0</v>
      </c>
      <c r="I13" s="169" t="s">
        <v>176</v>
      </c>
      <c r="J13" s="160">
        <v>3.0</v>
      </c>
    </row>
    <row r="14">
      <c r="A14" s="1"/>
      <c r="B14" s="175" t="s">
        <v>178</v>
      </c>
      <c r="C14" s="165">
        <v>0.0</v>
      </c>
      <c r="D14" s="232" t="s">
        <v>432</v>
      </c>
      <c r="E14" s="43">
        <v>0.0</v>
      </c>
      <c r="F14" s="195" t="s">
        <v>433</v>
      </c>
      <c r="G14" s="264">
        <v>0.0</v>
      </c>
      <c r="H14" s="196">
        <v>0.0</v>
      </c>
      <c r="I14" s="166" t="s">
        <v>180</v>
      </c>
      <c r="J14" s="167">
        <v>0.0</v>
      </c>
    </row>
    <row r="15">
      <c r="A15" s="1"/>
      <c r="B15" s="185" t="s">
        <v>182</v>
      </c>
      <c r="C15" s="168">
        <v>0.0</v>
      </c>
      <c r="D15" s="232" t="s">
        <v>434</v>
      </c>
      <c r="E15" s="43">
        <v>0.0</v>
      </c>
      <c r="F15" s="191" t="s">
        <v>209</v>
      </c>
      <c r="G15" s="119">
        <v>0.0</v>
      </c>
      <c r="H15" s="117">
        <v>63.0</v>
      </c>
      <c r="I15" s="164" t="s">
        <v>178</v>
      </c>
      <c r="J15" s="176">
        <v>0.0</v>
      </c>
    </row>
    <row r="16">
      <c r="A16" s="1"/>
      <c r="B16" s="182" t="s">
        <v>185</v>
      </c>
      <c r="C16" s="263">
        <v>0.0</v>
      </c>
      <c r="D16" s="232" t="s">
        <v>435</v>
      </c>
      <c r="E16" s="43">
        <v>2.0</v>
      </c>
      <c r="F16" s="191" t="s">
        <v>229</v>
      </c>
      <c r="G16" s="119">
        <v>0.0</v>
      </c>
      <c r="H16" s="117">
        <v>3.0</v>
      </c>
      <c r="I16" s="166" t="s">
        <v>186</v>
      </c>
      <c r="J16" s="167">
        <v>0.0</v>
      </c>
    </row>
    <row r="17">
      <c r="A17" s="1"/>
      <c r="B17" s="188" t="s">
        <v>188</v>
      </c>
      <c r="C17" s="241" t="s">
        <v>436</v>
      </c>
      <c r="D17" s="232" t="s">
        <v>437</v>
      </c>
      <c r="E17" s="43">
        <v>0.0</v>
      </c>
      <c r="F17" s="166" t="s">
        <v>438</v>
      </c>
      <c r="G17" s="167">
        <v>1.0</v>
      </c>
      <c r="H17" s="168">
        <v>0.0</v>
      </c>
      <c r="I17" s="164" t="s">
        <v>190</v>
      </c>
      <c r="J17" s="176">
        <v>0.0</v>
      </c>
    </row>
    <row r="18">
      <c r="A18" s="1"/>
      <c r="B18" s="188" t="s">
        <v>192</v>
      </c>
      <c r="C18" s="241">
        <v>0.0</v>
      </c>
      <c r="D18" s="232" t="s">
        <v>439</v>
      </c>
      <c r="E18" s="43">
        <v>0.0</v>
      </c>
      <c r="F18" s="166" t="s">
        <v>180</v>
      </c>
      <c r="G18" s="167">
        <v>0.0</v>
      </c>
      <c r="H18" s="168">
        <v>0.0</v>
      </c>
      <c r="I18" s="169" t="s">
        <v>194</v>
      </c>
      <c r="J18" s="160">
        <v>0.0</v>
      </c>
    </row>
    <row r="19">
      <c r="A19" s="1"/>
      <c r="B19" s="188" t="s">
        <v>196</v>
      </c>
      <c r="C19" s="241">
        <v>0.0</v>
      </c>
      <c r="D19" s="232" t="s">
        <v>440</v>
      </c>
      <c r="E19" s="43">
        <v>0.0</v>
      </c>
      <c r="F19" s="244" t="s">
        <v>441</v>
      </c>
      <c r="G19" s="31">
        <v>0.0</v>
      </c>
      <c r="H19" s="245">
        <v>0.0</v>
      </c>
      <c r="I19" s="173" t="s">
        <v>198</v>
      </c>
      <c r="J19" s="181">
        <v>0.0</v>
      </c>
    </row>
    <row r="20">
      <c r="A20" s="1"/>
      <c r="B20" s="188" t="s">
        <v>200</v>
      </c>
      <c r="C20" s="241">
        <v>926.0</v>
      </c>
      <c r="D20" s="169" t="s">
        <v>442</v>
      </c>
      <c r="E20" s="160">
        <v>1.0</v>
      </c>
      <c r="F20" s="244" t="s">
        <v>443</v>
      </c>
      <c r="G20" s="31">
        <v>0.0</v>
      </c>
      <c r="H20" s="245">
        <v>0.0</v>
      </c>
      <c r="I20" s="164" t="s">
        <v>202</v>
      </c>
      <c r="J20" s="176">
        <v>0.0</v>
      </c>
    </row>
    <row r="21">
      <c r="A21" s="1"/>
      <c r="B21" s="188" t="s">
        <v>204</v>
      </c>
      <c r="C21" s="241" t="s">
        <v>444</v>
      </c>
      <c r="D21" s="173" t="s">
        <v>445</v>
      </c>
      <c r="E21" s="181">
        <v>1.0</v>
      </c>
      <c r="F21" s="244" t="s">
        <v>446</v>
      </c>
      <c r="G21" s="31">
        <v>0.0</v>
      </c>
      <c r="H21" s="245">
        <v>0.0</v>
      </c>
      <c r="I21" s="161" t="s">
        <v>206</v>
      </c>
      <c r="J21" s="162">
        <v>0.0</v>
      </c>
    </row>
    <row r="22">
      <c r="A22" s="1"/>
      <c r="B22" s="188" t="s">
        <v>208</v>
      </c>
      <c r="C22" s="241">
        <v>0.0</v>
      </c>
      <c r="D22" s="166" t="s">
        <v>447</v>
      </c>
      <c r="E22" s="167">
        <v>0.0</v>
      </c>
      <c r="F22" s="244" t="s">
        <v>448</v>
      </c>
      <c r="G22" s="31">
        <v>0.0</v>
      </c>
      <c r="H22" s="245">
        <v>1.0</v>
      </c>
      <c r="I22" s="161" t="s">
        <v>210</v>
      </c>
      <c r="J22" s="162">
        <v>0.0</v>
      </c>
    </row>
    <row r="23">
      <c r="A23" s="1"/>
      <c r="B23" s="188" t="s">
        <v>212</v>
      </c>
      <c r="C23" s="241">
        <v>0.0</v>
      </c>
      <c r="D23" s="195" t="s">
        <v>449</v>
      </c>
      <c r="E23" s="264">
        <v>0.0</v>
      </c>
      <c r="F23" s="166" t="s">
        <v>450</v>
      </c>
      <c r="G23" s="167">
        <v>0.0</v>
      </c>
      <c r="H23" s="168">
        <v>0.0</v>
      </c>
      <c r="I23" s="161" t="s">
        <v>214</v>
      </c>
      <c r="J23" s="162">
        <v>0.0</v>
      </c>
    </row>
    <row r="24">
      <c r="A24" s="1"/>
      <c r="B24" s="188" t="s">
        <v>216</v>
      </c>
      <c r="C24" s="241" t="s">
        <v>451</v>
      </c>
      <c r="D24" s="195" t="s">
        <v>452</v>
      </c>
      <c r="E24" s="264">
        <v>0.0</v>
      </c>
      <c r="F24" s="244" t="s">
        <v>453</v>
      </c>
      <c r="G24" s="31">
        <v>0.0</v>
      </c>
      <c r="H24" s="245">
        <v>1.0</v>
      </c>
      <c r="I24" s="161" t="s">
        <v>218</v>
      </c>
      <c r="J24" s="162">
        <v>0.0</v>
      </c>
    </row>
    <row r="25">
      <c r="A25" s="1"/>
      <c r="B25" s="188" t="s">
        <v>220</v>
      </c>
      <c r="C25" s="241">
        <v>0.0</v>
      </c>
      <c r="D25" s="195" t="s">
        <v>454</v>
      </c>
      <c r="E25" s="264">
        <v>0.0</v>
      </c>
      <c r="F25" s="191" t="s">
        <v>455</v>
      </c>
      <c r="G25" s="119">
        <v>0.0</v>
      </c>
      <c r="H25" s="117">
        <v>0.0</v>
      </c>
      <c r="I25" s="161" t="s">
        <v>222</v>
      </c>
      <c r="J25" s="162">
        <v>0.0</v>
      </c>
    </row>
    <row r="26">
      <c r="A26" s="1"/>
      <c r="B26" s="188" t="s">
        <v>224</v>
      </c>
      <c r="C26" s="241">
        <v>0.0</v>
      </c>
      <c r="D26" s="195" t="s">
        <v>456</v>
      </c>
      <c r="E26" s="264">
        <v>0.0</v>
      </c>
      <c r="F26" s="191" t="s">
        <v>457</v>
      </c>
      <c r="G26" s="119">
        <v>0.0</v>
      </c>
      <c r="H26" s="117">
        <v>11.0</v>
      </c>
      <c r="I26" s="161" t="s">
        <v>226</v>
      </c>
      <c r="J26" s="162">
        <v>0.0</v>
      </c>
    </row>
    <row r="27">
      <c r="A27" s="1"/>
      <c r="B27" s="188" t="s">
        <v>228</v>
      </c>
      <c r="C27" s="241" t="s">
        <v>458</v>
      </c>
      <c r="D27" s="195" t="s">
        <v>459</v>
      </c>
      <c r="E27" s="264">
        <v>1.0</v>
      </c>
      <c r="F27" s="191" t="s">
        <v>460</v>
      </c>
      <c r="G27" s="119">
        <v>0.0</v>
      </c>
      <c r="H27" s="117">
        <v>0.0</v>
      </c>
      <c r="I27" s="161" t="s">
        <v>230</v>
      </c>
      <c r="J27" s="162">
        <v>0.0</v>
      </c>
    </row>
    <row r="28">
      <c r="A28" s="1"/>
      <c r="B28" s="194" t="s">
        <v>232</v>
      </c>
      <c r="C28" s="117">
        <v>3.0</v>
      </c>
      <c r="D28" s="195" t="s">
        <v>461</v>
      </c>
      <c r="E28" s="264">
        <v>8.0</v>
      </c>
      <c r="F28" s="191" t="s">
        <v>462</v>
      </c>
      <c r="G28" s="119">
        <v>0.0</v>
      </c>
      <c r="H28" s="117">
        <v>0.0</v>
      </c>
      <c r="I28" s="161" t="s">
        <v>233</v>
      </c>
      <c r="J28" s="162">
        <v>0.0</v>
      </c>
    </row>
    <row r="29">
      <c r="A29" s="1"/>
      <c r="B29" s="194" t="s">
        <v>235</v>
      </c>
      <c r="C29" s="117">
        <v>0.0</v>
      </c>
      <c r="D29" s="195" t="s">
        <v>463</v>
      </c>
      <c r="E29" s="264">
        <v>0.0</v>
      </c>
      <c r="F29" s="191" t="s">
        <v>464</v>
      </c>
      <c r="G29" s="119">
        <v>0.0</v>
      </c>
      <c r="H29" s="117">
        <v>0.0</v>
      </c>
      <c r="I29" s="161" t="s">
        <v>236</v>
      </c>
      <c r="J29" s="162">
        <v>22.0</v>
      </c>
    </row>
    <row r="30">
      <c r="A30" s="1"/>
      <c r="B30" s="194" t="s">
        <v>238</v>
      </c>
      <c r="C30" s="117">
        <v>0.0</v>
      </c>
      <c r="D30" s="195" t="s">
        <v>465</v>
      </c>
      <c r="E30" s="264" t="s">
        <v>466</v>
      </c>
      <c r="F30" s="191" t="s">
        <v>467</v>
      </c>
      <c r="G30" s="119">
        <v>2.0</v>
      </c>
      <c r="H30" s="117">
        <v>2.0</v>
      </c>
      <c r="I30" s="195" t="s">
        <v>239</v>
      </c>
      <c r="J30" s="264">
        <v>0.0</v>
      </c>
    </row>
    <row r="31">
      <c r="A31" s="1"/>
      <c r="B31" s="194" t="s">
        <v>241</v>
      </c>
      <c r="C31" s="117">
        <v>1.0</v>
      </c>
      <c r="D31" s="195" t="s">
        <v>468</v>
      </c>
      <c r="E31" s="264">
        <v>0.0</v>
      </c>
      <c r="F31" s="191" t="s">
        <v>469</v>
      </c>
      <c r="G31" s="119">
        <v>0.0</v>
      </c>
      <c r="H31" s="117">
        <v>0.0</v>
      </c>
      <c r="I31" s="195" t="s">
        <v>242</v>
      </c>
      <c r="J31" s="264">
        <v>2.0</v>
      </c>
    </row>
    <row r="32">
      <c r="A32" s="1"/>
      <c r="B32" s="194" t="s">
        <v>243</v>
      </c>
      <c r="C32" s="117">
        <v>0.0</v>
      </c>
      <c r="D32" s="195" t="s">
        <v>470</v>
      </c>
      <c r="E32" s="264">
        <v>0.0</v>
      </c>
      <c r="F32" s="177" t="s">
        <v>471</v>
      </c>
      <c r="G32" s="242">
        <v>0.0</v>
      </c>
      <c r="H32" s="178">
        <v>0.0</v>
      </c>
      <c r="I32" s="195" t="s">
        <v>244</v>
      </c>
      <c r="J32" s="264">
        <v>0.0</v>
      </c>
    </row>
    <row r="33">
      <c r="A33" s="1"/>
      <c r="B33" s="194" t="s">
        <v>245</v>
      </c>
      <c r="C33" s="117">
        <v>3.0</v>
      </c>
      <c r="D33" s="195" t="s">
        <v>472</v>
      </c>
      <c r="E33" s="264">
        <v>0.0</v>
      </c>
      <c r="F33" s="177" t="s">
        <v>473</v>
      </c>
      <c r="G33" s="242" t="s">
        <v>474</v>
      </c>
      <c r="H33" s="178" t="s">
        <v>475</v>
      </c>
      <c r="I33" s="195" t="s">
        <v>246</v>
      </c>
      <c r="J33" s="264">
        <v>3.0</v>
      </c>
    </row>
    <row r="34">
      <c r="A34" s="1"/>
      <c r="B34" s="194" t="s">
        <v>247</v>
      </c>
      <c r="C34" s="117">
        <v>0.0</v>
      </c>
      <c r="D34" s="265" t="s">
        <v>476</v>
      </c>
      <c r="E34" s="266">
        <v>0.0</v>
      </c>
      <c r="F34" s="177" t="s">
        <v>477</v>
      </c>
      <c r="G34" s="242">
        <v>0.0</v>
      </c>
      <c r="H34" s="178">
        <v>0.0</v>
      </c>
      <c r="I34" s="169" t="s">
        <v>248</v>
      </c>
      <c r="J34" s="160">
        <v>0.0</v>
      </c>
    </row>
    <row r="35">
      <c r="A35" s="1"/>
      <c r="B35" s="194" t="s">
        <v>249</v>
      </c>
      <c r="C35" s="117">
        <v>0.0</v>
      </c>
      <c r="D35" s="195" t="s">
        <v>478</v>
      </c>
      <c r="E35" s="264">
        <v>0.0</v>
      </c>
      <c r="F35" s="177" t="s">
        <v>479</v>
      </c>
      <c r="G35" s="242" t="s">
        <v>480</v>
      </c>
      <c r="H35" s="178">
        <v>0.0</v>
      </c>
      <c r="I35" s="173" t="s">
        <v>250</v>
      </c>
      <c r="J35" s="181">
        <v>0.0</v>
      </c>
    </row>
    <row r="36">
      <c r="A36" s="1"/>
      <c r="B36" s="194" t="s">
        <v>251</v>
      </c>
      <c r="C36" s="117">
        <v>0.0</v>
      </c>
      <c r="D36" s="195" t="s">
        <v>481</v>
      </c>
      <c r="E36" s="264">
        <v>0.0</v>
      </c>
      <c r="F36" s="177" t="s">
        <v>482</v>
      </c>
      <c r="G36" s="242">
        <v>0.0</v>
      </c>
      <c r="H36" s="178">
        <v>0.0</v>
      </c>
      <c r="I36" s="179" t="s">
        <v>252</v>
      </c>
      <c r="J36" s="243">
        <v>0.0</v>
      </c>
    </row>
    <row r="37">
      <c r="A37" s="1"/>
      <c r="B37" s="194" t="s">
        <v>253</v>
      </c>
      <c r="C37" s="117">
        <v>0.0</v>
      </c>
      <c r="D37" s="195" t="s">
        <v>483</v>
      </c>
      <c r="E37" s="264">
        <v>0.0</v>
      </c>
      <c r="F37" s="177" t="s">
        <v>484</v>
      </c>
      <c r="G37" s="242">
        <v>0.0</v>
      </c>
      <c r="H37" s="178">
        <v>0.0</v>
      </c>
      <c r="I37" s="161" t="s">
        <v>254</v>
      </c>
      <c r="J37" s="162">
        <v>0.0</v>
      </c>
    </row>
    <row r="38">
      <c r="A38" s="1"/>
      <c r="B38" s="194" t="s">
        <v>255</v>
      </c>
      <c r="C38" s="117">
        <v>0.0</v>
      </c>
      <c r="D38" s="195" t="s">
        <v>485</v>
      </c>
      <c r="E38" s="264">
        <v>0.0</v>
      </c>
      <c r="F38" s="177" t="s">
        <v>486</v>
      </c>
      <c r="G38" s="242">
        <v>0.0</v>
      </c>
      <c r="H38" s="178">
        <v>0.0</v>
      </c>
      <c r="I38" s="191" t="s">
        <v>256</v>
      </c>
      <c r="J38" s="119">
        <v>0.0</v>
      </c>
    </row>
    <row r="39">
      <c r="A39" s="1"/>
      <c r="B39" s="194" t="s">
        <v>257</v>
      </c>
      <c r="C39" s="117">
        <v>0.0</v>
      </c>
      <c r="D39" s="195" t="s">
        <v>487</v>
      </c>
      <c r="E39" s="264">
        <v>0.0</v>
      </c>
      <c r="F39" s="177" t="s">
        <v>488</v>
      </c>
      <c r="G39" s="242">
        <v>0.0</v>
      </c>
      <c r="H39" s="178">
        <v>0.0</v>
      </c>
      <c r="I39" s="191" t="s">
        <v>232</v>
      </c>
      <c r="J39" s="119">
        <v>3.0</v>
      </c>
    </row>
    <row r="40">
      <c r="A40" s="1"/>
      <c r="B40" s="194" t="s">
        <v>258</v>
      </c>
      <c r="C40" s="117">
        <v>0.0</v>
      </c>
      <c r="D40" s="195" t="s">
        <v>489</v>
      </c>
      <c r="E40" s="264">
        <v>0.0</v>
      </c>
      <c r="F40" s="177" t="s">
        <v>490</v>
      </c>
      <c r="G40" s="242">
        <v>0.0</v>
      </c>
      <c r="H40" s="178">
        <v>0.0</v>
      </c>
      <c r="I40" s="164" t="s">
        <v>259</v>
      </c>
      <c r="J40" s="176" t="s">
        <v>491</v>
      </c>
    </row>
    <row r="41">
      <c r="A41" s="1"/>
      <c r="B41" s="194" t="s">
        <v>260</v>
      </c>
      <c r="C41" s="117">
        <v>0.0</v>
      </c>
      <c r="D41" s="195" t="s">
        <v>492</v>
      </c>
      <c r="E41" s="264">
        <v>0.0</v>
      </c>
      <c r="F41" s="177" t="s">
        <v>493</v>
      </c>
      <c r="G41" s="242">
        <v>0.0</v>
      </c>
      <c r="H41" s="178">
        <v>0.0</v>
      </c>
      <c r="I41" s="199" t="s">
        <v>261</v>
      </c>
      <c r="J41" s="239" t="s">
        <v>494</v>
      </c>
    </row>
    <row r="42">
      <c r="A42" s="1"/>
      <c r="B42" s="201" t="s">
        <v>263</v>
      </c>
      <c r="C42" s="193">
        <v>0.0</v>
      </c>
      <c r="D42" s="195" t="s">
        <v>495</v>
      </c>
      <c r="E42" s="264">
        <v>2.0</v>
      </c>
      <c r="F42" s="177" t="s">
        <v>496</v>
      </c>
      <c r="G42" s="242">
        <v>0.0</v>
      </c>
      <c r="H42" s="178" t="s">
        <v>497</v>
      </c>
      <c r="I42" s="199" t="s">
        <v>264</v>
      </c>
      <c r="J42" s="239">
        <v>1.0</v>
      </c>
    </row>
    <row r="43">
      <c r="A43" s="1"/>
      <c r="B43" s="194" t="s">
        <v>265</v>
      </c>
      <c r="C43" s="117">
        <v>0.0</v>
      </c>
      <c r="D43" s="191" t="s">
        <v>232</v>
      </c>
      <c r="E43" s="119">
        <v>0.0</v>
      </c>
      <c r="F43" s="177" t="s">
        <v>498</v>
      </c>
      <c r="G43" s="242">
        <v>0.0</v>
      </c>
      <c r="H43" s="178">
        <v>0.0</v>
      </c>
      <c r="I43" s="199" t="s">
        <v>266</v>
      </c>
      <c r="J43" s="239">
        <v>24.0</v>
      </c>
    </row>
    <row r="44">
      <c r="A44" s="1"/>
      <c r="B44" s="194" t="s">
        <v>267</v>
      </c>
      <c r="C44" s="117">
        <v>0.0</v>
      </c>
      <c r="D44" s="267" t="s">
        <v>499</v>
      </c>
      <c r="E44" s="30" t="s">
        <v>500</v>
      </c>
      <c r="F44" s="177" t="s">
        <v>501</v>
      </c>
      <c r="G44" s="242">
        <v>0.0</v>
      </c>
      <c r="H44" s="178">
        <v>0.0</v>
      </c>
      <c r="I44" s="199" t="s">
        <v>268</v>
      </c>
      <c r="J44" s="239" t="s">
        <v>502</v>
      </c>
    </row>
    <row r="45">
      <c r="A45" s="1"/>
      <c r="B45" s="194" t="s">
        <v>269</v>
      </c>
      <c r="C45" s="117">
        <v>0.0</v>
      </c>
      <c r="D45" s="267" t="s">
        <v>503</v>
      </c>
      <c r="E45" s="30">
        <v>0.0</v>
      </c>
      <c r="F45" s="177" t="s">
        <v>504</v>
      </c>
      <c r="G45" s="242">
        <v>0.0</v>
      </c>
      <c r="H45" s="178">
        <v>0.0</v>
      </c>
      <c r="I45" s="199" t="s">
        <v>270</v>
      </c>
      <c r="J45" s="239">
        <v>0.0</v>
      </c>
    </row>
    <row r="46">
      <c r="A46" s="1"/>
      <c r="B46" s="194" t="s">
        <v>271</v>
      </c>
      <c r="C46" s="117">
        <v>0.0</v>
      </c>
      <c r="D46" s="267" t="s">
        <v>505</v>
      </c>
      <c r="E46" s="30">
        <v>0.0</v>
      </c>
      <c r="F46" s="177" t="s">
        <v>506</v>
      </c>
      <c r="G46" s="242">
        <v>0.0</v>
      </c>
      <c r="H46" s="178">
        <v>0.0</v>
      </c>
      <c r="I46" s="199" t="s">
        <v>272</v>
      </c>
      <c r="J46" s="239" t="s">
        <v>507</v>
      </c>
    </row>
    <row r="47">
      <c r="A47" s="1"/>
      <c r="B47" s="194" t="s">
        <v>273</v>
      </c>
      <c r="C47" s="117">
        <v>0.0</v>
      </c>
      <c r="D47" s="267" t="s">
        <v>508</v>
      </c>
      <c r="E47" s="30">
        <v>0.0</v>
      </c>
      <c r="F47" s="177" t="s">
        <v>509</v>
      </c>
      <c r="G47" s="242">
        <v>0.0</v>
      </c>
      <c r="H47" s="178" t="s">
        <v>510</v>
      </c>
      <c r="I47" s="199" t="s">
        <v>274</v>
      </c>
      <c r="J47" s="239" t="s">
        <v>511</v>
      </c>
    </row>
    <row r="48">
      <c r="A48" s="1"/>
      <c r="B48" s="194" t="s">
        <v>275</v>
      </c>
      <c r="C48" s="117">
        <v>0.0</v>
      </c>
      <c r="D48" s="267" t="s">
        <v>512</v>
      </c>
      <c r="E48" s="30">
        <v>0.0</v>
      </c>
      <c r="F48" s="177" t="s">
        <v>513</v>
      </c>
      <c r="G48" s="242">
        <v>0.0</v>
      </c>
      <c r="H48" s="178">
        <v>0.0</v>
      </c>
      <c r="I48" s="199" t="s">
        <v>276</v>
      </c>
      <c r="J48" s="239" t="s">
        <v>436</v>
      </c>
    </row>
    <row r="49">
      <c r="A49" s="1"/>
      <c r="B49" s="194" t="s">
        <v>278</v>
      </c>
      <c r="C49" s="117">
        <v>0.0</v>
      </c>
      <c r="D49" s="267" t="s">
        <v>514</v>
      </c>
      <c r="E49" s="30">
        <v>0.0</v>
      </c>
      <c r="F49" s="177" t="s">
        <v>515</v>
      </c>
      <c r="G49" s="242">
        <v>0.0</v>
      </c>
      <c r="H49" s="178">
        <v>0.0</v>
      </c>
      <c r="I49" s="96"/>
      <c r="J49" s="23"/>
    </row>
    <row r="50">
      <c r="A50" s="1"/>
      <c r="B50" s="194" t="s">
        <v>279</v>
      </c>
      <c r="C50" s="117">
        <v>0.0</v>
      </c>
      <c r="D50" s="267" t="s">
        <v>516</v>
      </c>
      <c r="E50" s="30">
        <v>0.0</v>
      </c>
      <c r="F50" s="177" t="s">
        <v>517</v>
      </c>
      <c r="G50" s="242">
        <v>0.0</v>
      </c>
      <c r="H50" s="178">
        <v>0.0</v>
      </c>
      <c r="I50" s="96"/>
      <c r="J50" s="23"/>
    </row>
    <row r="51">
      <c r="A51" s="1"/>
      <c r="B51" s="194" t="s">
        <v>280</v>
      </c>
      <c r="C51" s="117">
        <v>0.0</v>
      </c>
      <c r="D51" s="267" t="s">
        <v>518</v>
      </c>
      <c r="E51" s="30" t="s">
        <v>519</v>
      </c>
      <c r="F51" s="177" t="s">
        <v>520</v>
      </c>
      <c r="G51" s="242">
        <v>0.0</v>
      </c>
      <c r="H51" s="178">
        <v>0.0</v>
      </c>
      <c r="I51" s="96"/>
      <c r="J51" s="23"/>
    </row>
    <row r="52">
      <c r="A52" s="1"/>
      <c r="B52" s="194" t="s">
        <v>281</v>
      </c>
      <c r="C52" s="117">
        <v>0.0</v>
      </c>
      <c r="D52" s="267" t="s">
        <v>521</v>
      </c>
      <c r="E52" s="30">
        <v>0.0</v>
      </c>
      <c r="F52" s="177" t="s">
        <v>522</v>
      </c>
      <c r="G52" s="242">
        <v>0.0</v>
      </c>
      <c r="H52" s="178">
        <v>0.0</v>
      </c>
      <c r="I52" s="96"/>
      <c r="J52" s="23"/>
    </row>
    <row r="53">
      <c r="A53" s="1"/>
      <c r="B53" s="194" t="s">
        <v>282</v>
      </c>
      <c r="C53" s="117">
        <v>0.0</v>
      </c>
      <c r="D53" s="267" t="s">
        <v>523</v>
      </c>
      <c r="E53" s="30">
        <v>0.0</v>
      </c>
      <c r="F53" s="177" t="s">
        <v>524</v>
      </c>
      <c r="G53" s="242">
        <v>0.0</v>
      </c>
      <c r="H53" s="178">
        <v>0.0</v>
      </c>
      <c r="I53" s="96"/>
      <c r="J53" s="23"/>
    </row>
    <row r="54">
      <c r="A54" s="1"/>
      <c r="B54" s="194" t="s">
        <v>283</v>
      </c>
      <c r="C54" s="117">
        <v>0.0</v>
      </c>
      <c r="D54" s="96"/>
      <c r="E54" s="23"/>
      <c r="F54" s="177" t="s">
        <v>525</v>
      </c>
      <c r="G54" s="242">
        <v>46.0</v>
      </c>
      <c r="H54" s="178">
        <v>44.0</v>
      </c>
      <c r="I54" s="96"/>
      <c r="J54" s="23"/>
    </row>
    <row r="55">
      <c r="A55" s="1"/>
      <c r="B55" s="23"/>
      <c r="C55" s="95"/>
      <c r="D55" s="96"/>
      <c r="E55" s="23"/>
      <c r="F55" s="177" t="s">
        <v>526</v>
      </c>
      <c r="G55" s="242">
        <v>82.0</v>
      </c>
      <c r="H55" s="178">
        <v>55.0</v>
      </c>
      <c r="I55" s="96"/>
      <c r="J55" s="23"/>
    </row>
    <row r="56">
      <c r="A56" s="1"/>
      <c r="B56" s="23"/>
      <c r="C56" s="95"/>
      <c r="D56" s="96"/>
      <c r="E56" s="23"/>
      <c r="F56" s="177" t="s">
        <v>527</v>
      </c>
      <c r="G56" s="242" t="s">
        <v>528</v>
      </c>
      <c r="H56" s="178" t="s">
        <v>529</v>
      </c>
      <c r="I56" s="96"/>
      <c r="J56" s="23"/>
    </row>
    <row r="57">
      <c r="A57" s="1"/>
      <c r="B57" s="23"/>
      <c r="C57" s="95"/>
      <c r="D57" s="96"/>
      <c r="E57" s="23"/>
      <c r="F57" s="177" t="s">
        <v>530</v>
      </c>
      <c r="G57" s="242">
        <v>0.0</v>
      </c>
      <c r="H57" s="178">
        <v>0.0</v>
      </c>
      <c r="I57" s="96"/>
      <c r="J57" s="23"/>
    </row>
    <row r="58">
      <c r="A58" s="1"/>
      <c r="B58" s="23"/>
      <c r="C58" s="95"/>
      <c r="D58" s="96"/>
      <c r="E58" s="23"/>
      <c r="F58" s="177" t="s">
        <v>531</v>
      </c>
      <c r="G58" s="242">
        <v>0.0</v>
      </c>
      <c r="H58" s="178">
        <v>0.0</v>
      </c>
      <c r="I58" s="96"/>
      <c r="J58" s="23"/>
    </row>
    <row r="59">
      <c r="A59" s="1"/>
      <c r="B59" s="23"/>
      <c r="C59" s="95"/>
      <c r="D59" s="96"/>
      <c r="E59" s="23"/>
      <c r="F59" s="96"/>
      <c r="G59" s="23"/>
      <c r="H59" s="95"/>
      <c r="I59" s="96"/>
      <c r="J59" s="23"/>
    </row>
    <row r="60">
      <c r="A60" s="24" t="s">
        <v>284</v>
      </c>
      <c r="B60" s="23"/>
      <c r="C60" s="95"/>
      <c r="D60" s="96"/>
      <c r="E60" s="23"/>
      <c r="F60" s="96"/>
      <c r="G60" s="23"/>
      <c r="H60" s="95"/>
      <c r="I60" s="96"/>
      <c r="J60" s="23"/>
    </row>
    <row r="61">
      <c r="A61" s="1"/>
      <c r="B61" s="175" t="s">
        <v>285</v>
      </c>
      <c r="C61" s="165">
        <v>0.0</v>
      </c>
      <c r="D61" s="195" t="s">
        <v>532</v>
      </c>
      <c r="E61" s="264">
        <v>0.0</v>
      </c>
      <c r="F61" s="177" t="s">
        <v>533</v>
      </c>
      <c r="G61" s="242" t="s">
        <v>534</v>
      </c>
      <c r="H61" s="178" t="s">
        <v>535</v>
      </c>
      <c r="I61" s="199" t="s">
        <v>287</v>
      </c>
      <c r="J61" s="239" t="s">
        <v>536</v>
      </c>
    </row>
    <row r="62">
      <c r="A62" s="1"/>
      <c r="B62" s="23"/>
      <c r="C62" s="95"/>
      <c r="D62" s="96"/>
      <c r="E62" s="23"/>
      <c r="F62" s="177" t="s">
        <v>537</v>
      </c>
      <c r="G62" s="242">
        <v>0.0</v>
      </c>
      <c r="H62" s="178">
        <v>0.0</v>
      </c>
      <c r="I62" s="199" t="s">
        <v>290</v>
      </c>
      <c r="J62" s="239">
        <v>0.0</v>
      </c>
    </row>
    <row r="63">
      <c r="A63" s="1"/>
      <c r="B63" s="23"/>
      <c r="C63" s="95"/>
      <c r="D63" s="96"/>
      <c r="E63" s="23"/>
      <c r="F63" s="177" t="s">
        <v>538</v>
      </c>
      <c r="G63" s="242">
        <v>0.0</v>
      </c>
      <c r="H63" s="178">
        <v>0.0</v>
      </c>
      <c r="I63" s="199" t="s">
        <v>293</v>
      </c>
      <c r="J63" s="239">
        <v>0.0</v>
      </c>
    </row>
    <row r="64">
      <c r="A64" s="1"/>
      <c r="B64" s="23"/>
      <c r="C64" s="95"/>
      <c r="D64" s="96"/>
      <c r="E64" s="23"/>
      <c r="F64" s="177" t="s">
        <v>539</v>
      </c>
      <c r="G64" s="242">
        <v>0.0</v>
      </c>
      <c r="H64" s="178">
        <v>0.0</v>
      </c>
      <c r="I64" s="199" t="s">
        <v>296</v>
      </c>
      <c r="J64" s="239">
        <v>0.0</v>
      </c>
    </row>
    <row r="65">
      <c r="A65" s="1"/>
      <c r="B65" s="23"/>
      <c r="C65" s="95"/>
      <c r="D65" s="96"/>
      <c r="E65" s="23"/>
      <c r="F65" s="177" t="s">
        <v>540</v>
      </c>
      <c r="G65" s="242">
        <v>0.0</v>
      </c>
      <c r="H65" s="178">
        <v>0.0</v>
      </c>
      <c r="I65" s="199" t="s">
        <v>298</v>
      </c>
      <c r="J65" s="239" t="s">
        <v>541</v>
      </c>
    </row>
    <row r="66">
      <c r="A66" s="1"/>
      <c r="B66" s="23"/>
      <c r="C66" s="95"/>
      <c r="D66" s="96"/>
      <c r="E66" s="23"/>
      <c r="F66" s="177" t="s">
        <v>542</v>
      </c>
      <c r="G66" s="242">
        <v>0.0</v>
      </c>
      <c r="H66" s="178">
        <v>0.0</v>
      </c>
      <c r="I66" s="164" t="s">
        <v>300</v>
      </c>
      <c r="J66" s="176">
        <v>0.0</v>
      </c>
    </row>
    <row r="67">
      <c r="A67" s="1"/>
      <c r="B67" s="23"/>
      <c r="C67" s="95"/>
      <c r="D67" s="96"/>
      <c r="E67" s="23"/>
      <c r="F67" s="177" t="s">
        <v>543</v>
      </c>
      <c r="G67" s="242" t="s">
        <v>544</v>
      </c>
      <c r="H67" s="178" t="s">
        <v>545</v>
      </c>
      <c r="I67" s="169" t="s">
        <v>302</v>
      </c>
      <c r="J67" s="160">
        <v>1.0</v>
      </c>
    </row>
    <row r="68">
      <c r="A68" s="1"/>
      <c r="B68" s="23"/>
      <c r="C68" s="95"/>
      <c r="D68" s="96"/>
      <c r="E68" s="23"/>
      <c r="F68" s="202" t="s">
        <v>306</v>
      </c>
      <c r="G68" s="204">
        <f>2078/500</f>
        <v>4.156</v>
      </c>
      <c r="H68" s="203">
        <f>1728/392</f>
        <v>4.408163265</v>
      </c>
      <c r="I68" s="169" t="s">
        <v>304</v>
      </c>
      <c r="J68" s="160">
        <v>0.0</v>
      </c>
    </row>
    <row r="69">
      <c r="A69" s="1"/>
      <c r="B69" s="23"/>
      <c r="C69" s="95"/>
      <c r="D69" s="96"/>
      <c r="E69" s="23"/>
      <c r="F69" s="96"/>
      <c r="G69" s="23"/>
      <c r="H69" s="95"/>
      <c r="I69" s="202" t="s">
        <v>306</v>
      </c>
      <c r="J69" s="204">
        <f>824/352</f>
        <v>2.340909091</v>
      </c>
    </row>
    <row r="70">
      <c r="A70" s="1"/>
      <c r="B70" s="23"/>
      <c r="C70" s="95"/>
      <c r="D70" s="96"/>
      <c r="E70" s="23"/>
      <c r="F70" s="96"/>
      <c r="G70" s="23"/>
      <c r="H70" s="95"/>
      <c r="I70" s="96"/>
      <c r="J70" s="23"/>
    </row>
    <row r="71">
      <c r="A71" s="205"/>
      <c r="B71" s="206"/>
      <c r="C71" s="208">
        <v>1711.0</v>
      </c>
      <c r="D71" s="207"/>
      <c r="E71" s="206">
        <v>1391.0</v>
      </c>
      <c r="F71" s="207"/>
      <c r="G71" s="206">
        <v>1509.0</v>
      </c>
      <c r="H71" s="208">
        <v>1488.0</v>
      </c>
      <c r="I71" s="207"/>
      <c r="J71" s="206">
        <v>1504.0</v>
      </c>
    </row>
    <row r="72">
      <c r="A72" s="209" t="s">
        <v>307</v>
      </c>
      <c r="B72" s="210"/>
      <c r="C72" s="213">
        <v>1711.0</v>
      </c>
      <c r="D72" s="212"/>
      <c r="E72" s="211">
        <v>1391.0</v>
      </c>
      <c r="F72" s="212"/>
      <c r="G72" s="211">
        <v>792.0</v>
      </c>
      <c r="H72" s="213">
        <v>934.0</v>
      </c>
      <c r="I72" s="212"/>
      <c r="J72" s="211">
        <v>673.0</v>
      </c>
    </row>
    <row r="73">
      <c r="A73" s="214" t="s">
        <v>308</v>
      </c>
      <c r="B73" s="215"/>
      <c r="C73" s="217">
        <f>1711/MAX(A71:J71,1)</f>
        <v>1</v>
      </c>
      <c r="D73" s="216"/>
      <c r="E73" s="215">
        <f>1391/MAX(A71:J71,1)</f>
        <v>0.8129748685</v>
      </c>
      <c r="F73" s="216"/>
      <c r="G73" s="215">
        <f>792/MAX(A71:J71,1)</f>
        <v>0.4628872005</v>
      </c>
      <c r="H73" s="217">
        <f>934/MAX(A71:J71,1)</f>
        <v>0.5458796026</v>
      </c>
      <c r="I73" s="216"/>
      <c r="J73" s="215">
        <f>673/MAX(A71:J71,1)</f>
        <v>0.3933372297</v>
      </c>
    </row>
    <row r="74">
      <c r="A74" s="218" t="s">
        <v>309</v>
      </c>
      <c r="B74" s="219"/>
      <c r="C74" s="222">
        <f>C73+C75</f>
        <v>1</v>
      </c>
      <c r="D74" s="221"/>
      <c r="E74" s="220">
        <f>E73+E75</f>
        <v>0.8129748685</v>
      </c>
      <c r="F74" s="221"/>
      <c r="G74" s="220">
        <f t="shared" ref="G74:H74" si="1">G73+G75</f>
        <v>0.8825248393</v>
      </c>
      <c r="H74" s="222">
        <f t="shared" si="1"/>
        <v>0.870251315</v>
      </c>
      <c r="I74" s="221"/>
      <c r="J74" s="220">
        <f>J73+J75</f>
        <v>0.8796025716</v>
      </c>
    </row>
    <row r="75">
      <c r="A75" s="223" t="s">
        <v>310</v>
      </c>
      <c r="B75" s="224"/>
      <c r="C75" s="226">
        <f>0/MAX(A71:J71,1)</f>
        <v>0</v>
      </c>
      <c r="D75" s="225"/>
      <c r="E75" s="224">
        <f>0/MAX(A71:J71,1)</f>
        <v>0</v>
      </c>
      <c r="F75" s="225"/>
      <c r="G75" s="224">
        <f>718/MAX(A71:J71,1)</f>
        <v>0.4196376388</v>
      </c>
      <c r="H75" s="226">
        <f>555/MAX(A71:J71,1)</f>
        <v>0.3243717124</v>
      </c>
      <c r="I75" s="225"/>
      <c r="J75" s="224">
        <f>832/MAX(A71:J71,1)</f>
        <v>0.4862653419</v>
      </c>
    </row>
    <row r="76">
      <c r="A76" s="209" t="s">
        <v>311</v>
      </c>
      <c r="B76" s="210"/>
      <c r="C76" s="213">
        <v>0.0</v>
      </c>
      <c r="D76" s="212"/>
      <c r="E76" s="211">
        <v>0.0</v>
      </c>
      <c r="F76" s="212"/>
      <c r="G76" s="211">
        <v>718.0</v>
      </c>
      <c r="H76" s="213">
        <v>555.0</v>
      </c>
      <c r="I76" s="212"/>
      <c r="J76" s="211">
        <v>832.0</v>
      </c>
    </row>
    <row r="77">
      <c r="A77" s="227" t="s">
        <v>312</v>
      </c>
      <c r="B77" s="228"/>
      <c r="C77" s="230">
        <v>0.91</v>
      </c>
      <c r="D77" s="229"/>
      <c r="E77" s="228">
        <v>0.87</v>
      </c>
      <c r="F77" s="229"/>
      <c r="G77" s="228">
        <v>0.9</v>
      </c>
      <c r="H77" s="230">
        <v>0.93</v>
      </c>
      <c r="I77" s="229"/>
      <c r="J77" s="228">
        <v>0.87</v>
      </c>
    </row>
    <row r="78">
      <c r="A78" s="1"/>
      <c r="B78" s="23"/>
      <c r="C78" s="95"/>
      <c r="D78" s="96"/>
      <c r="E78" s="23"/>
      <c r="F78" s="96"/>
      <c r="G78" s="23"/>
      <c r="H78" s="95"/>
      <c r="I78" s="96"/>
      <c r="J78" s="23"/>
    </row>
    <row r="79">
      <c r="A79" s="24" t="s">
        <v>313</v>
      </c>
      <c r="B79" s="23"/>
      <c r="C79" s="95"/>
      <c r="D79" s="96"/>
      <c r="E79" s="23"/>
      <c r="F79" s="96"/>
      <c r="G79" s="23"/>
      <c r="H79" s="95"/>
      <c r="I79" s="96"/>
      <c r="J79" s="23"/>
    </row>
    <row r="80">
      <c r="A80" s="1"/>
      <c r="B80" s="231" t="s">
        <v>314</v>
      </c>
      <c r="C80" s="233">
        <v>0.0</v>
      </c>
      <c r="D80" s="232" t="s">
        <v>546</v>
      </c>
      <c r="E80" s="43">
        <v>0.0</v>
      </c>
      <c r="F80" s="232" t="s">
        <v>314</v>
      </c>
      <c r="G80" s="43">
        <v>0.0</v>
      </c>
      <c r="H80" s="233">
        <v>0.0</v>
      </c>
      <c r="I80" s="232" t="s">
        <v>314</v>
      </c>
      <c r="J80" s="43">
        <v>0.0</v>
      </c>
    </row>
    <row r="81">
      <c r="A81" s="1"/>
      <c r="B81" s="231" t="s">
        <v>315</v>
      </c>
      <c r="C81" s="233">
        <v>0.0</v>
      </c>
      <c r="D81" s="232" t="s">
        <v>547</v>
      </c>
      <c r="E81" s="43">
        <v>2.0</v>
      </c>
      <c r="F81" s="232" t="s">
        <v>315</v>
      </c>
      <c r="G81" s="43">
        <v>0.0</v>
      </c>
      <c r="H81" s="233">
        <v>1.0</v>
      </c>
      <c r="I81" s="232" t="s">
        <v>315</v>
      </c>
      <c r="J81" s="43">
        <v>0.0</v>
      </c>
    </row>
    <row r="82">
      <c r="A82" s="1"/>
      <c r="B82" s="234" t="s">
        <v>316</v>
      </c>
      <c r="C82" s="237">
        <v>0.0</v>
      </c>
      <c r="D82" s="236" t="s">
        <v>316</v>
      </c>
      <c r="E82" s="235">
        <v>2.0</v>
      </c>
      <c r="F82" s="236" t="s">
        <v>316</v>
      </c>
      <c r="G82" s="235">
        <v>0.0</v>
      </c>
      <c r="H82" s="237">
        <v>1.0</v>
      </c>
      <c r="I82" s="236" t="s">
        <v>316</v>
      </c>
      <c r="J82" s="235">
        <v>0.0</v>
      </c>
    </row>
    <row r="83">
      <c r="A83" s="1"/>
      <c r="B83" s="238" t="s">
        <v>317</v>
      </c>
      <c r="C83" s="200">
        <v>0.0</v>
      </c>
      <c r="D83" s="199" t="s">
        <v>317</v>
      </c>
      <c r="E83" s="239">
        <v>0.0</v>
      </c>
      <c r="F83" s="199" t="s">
        <v>317</v>
      </c>
      <c r="G83" s="239">
        <v>0.0</v>
      </c>
      <c r="H83" s="200">
        <v>0.0</v>
      </c>
      <c r="I83" s="199" t="s">
        <v>317</v>
      </c>
      <c r="J83" s="239">
        <v>0.0</v>
      </c>
    </row>
    <row r="84">
      <c r="A84" s="1"/>
      <c r="B84" s="238" t="s">
        <v>318</v>
      </c>
      <c r="C84" s="200">
        <v>10.0</v>
      </c>
      <c r="D84" s="199" t="s">
        <v>318</v>
      </c>
      <c r="E84" s="239">
        <v>10.0</v>
      </c>
      <c r="F84" s="199" t="s">
        <v>318</v>
      </c>
      <c r="G84" s="239">
        <v>10.0</v>
      </c>
      <c r="H84" s="200">
        <v>10.0</v>
      </c>
      <c r="I84" s="199" t="s">
        <v>318</v>
      </c>
      <c r="J84" s="239">
        <v>10.0</v>
      </c>
    </row>
    <row r="85">
      <c r="A85" s="1"/>
      <c r="B85" s="234" t="s">
        <v>319</v>
      </c>
      <c r="C85" s="237">
        <v>10.0</v>
      </c>
      <c r="D85" s="236" t="s">
        <v>319</v>
      </c>
      <c r="E85" s="235">
        <v>10.0</v>
      </c>
      <c r="F85" s="236" t="s">
        <v>319</v>
      </c>
      <c r="G85" s="235">
        <v>10.0</v>
      </c>
      <c r="H85" s="237">
        <v>10.0</v>
      </c>
      <c r="I85" s="236" t="s">
        <v>319</v>
      </c>
      <c r="J85" s="235">
        <v>10.0</v>
      </c>
    </row>
    <row r="86">
      <c r="A86" s="1"/>
      <c r="B86" s="188" t="s">
        <v>320</v>
      </c>
      <c r="C86" s="241">
        <v>0.0</v>
      </c>
      <c r="D86" s="240" t="s">
        <v>321</v>
      </c>
      <c r="E86" s="189">
        <v>0.0</v>
      </c>
      <c r="F86" s="240" t="s">
        <v>321</v>
      </c>
      <c r="G86" s="189">
        <v>0.0</v>
      </c>
      <c r="H86" s="241">
        <v>0.0</v>
      </c>
      <c r="I86" s="240" t="s">
        <v>321</v>
      </c>
      <c r="J86" s="189">
        <v>0.0</v>
      </c>
    </row>
    <row r="87">
      <c r="A87" s="1"/>
      <c r="B87" s="188" t="s">
        <v>322</v>
      </c>
      <c r="C87" s="241" t="s">
        <v>548</v>
      </c>
      <c r="D87" s="240" t="s">
        <v>324</v>
      </c>
      <c r="E87" s="189">
        <v>0.0</v>
      </c>
      <c r="F87" s="240" t="s">
        <v>324</v>
      </c>
      <c r="G87" s="189">
        <v>1.0</v>
      </c>
      <c r="H87" s="241">
        <v>4.0</v>
      </c>
      <c r="I87" s="240" t="s">
        <v>324</v>
      </c>
      <c r="J87" s="189">
        <v>0.0</v>
      </c>
    </row>
    <row r="88">
      <c r="A88" s="1"/>
      <c r="B88" s="234" t="s">
        <v>325</v>
      </c>
      <c r="C88" s="237" t="s">
        <v>548</v>
      </c>
      <c r="D88" s="236" t="s">
        <v>325</v>
      </c>
      <c r="E88" s="235">
        <v>0.0</v>
      </c>
      <c r="F88" s="236" t="s">
        <v>325</v>
      </c>
      <c r="G88" s="235">
        <v>1.0</v>
      </c>
      <c r="H88" s="237">
        <v>4.0</v>
      </c>
      <c r="I88" s="236" t="s">
        <v>325</v>
      </c>
      <c r="J88" s="235">
        <v>0.0</v>
      </c>
    </row>
    <row r="89">
      <c r="A89" s="1"/>
      <c r="B89" s="194" t="s">
        <v>326</v>
      </c>
      <c r="C89" s="117">
        <v>0.0</v>
      </c>
      <c r="D89" s="195" t="s">
        <v>549</v>
      </c>
      <c r="E89" s="264">
        <v>0.0</v>
      </c>
      <c r="F89" s="177" t="s">
        <v>550</v>
      </c>
      <c r="G89" s="242">
        <v>0.0</v>
      </c>
      <c r="H89" s="178">
        <v>0.0</v>
      </c>
      <c r="I89" s="177" t="s">
        <v>327</v>
      </c>
      <c r="J89" s="242" t="s">
        <v>328</v>
      </c>
    </row>
    <row r="90">
      <c r="A90" s="1"/>
      <c r="B90" s="194" t="s">
        <v>330</v>
      </c>
      <c r="C90" s="117">
        <v>0.0</v>
      </c>
      <c r="D90" s="195" t="s">
        <v>551</v>
      </c>
      <c r="E90" s="264">
        <v>0.0</v>
      </c>
      <c r="F90" s="177" t="s">
        <v>552</v>
      </c>
      <c r="G90" s="242">
        <v>0.0</v>
      </c>
      <c r="H90" s="178">
        <v>0.0</v>
      </c>
      <c r="I90" s="177" t="s">
        <v>331</v>
      </c>
      <c r="J90" s="242" t="s">
        <v>328</v>
      </c>
    </row>
    <row r="91">
      <c r="A91" s="1"/>
      <c r="B91" s="234" t="s">
        <v>333</v>
      </c>
      <c r="C91" s="237">
        <v>0.0</v>
      </c>
      <c r="D91" s="236" t="s">
        <v>553</v>
      </c>
      <c r="E91" s="235">
        <v>0.0</v>
      </c>
      <c r="F91" s="236" t="s">
        <v>554</v>
      </c>
      <c r="G91" s="235">
        <v>0.0</v>
      </c>
      <c r="H91" s="237">
        <v>0.0</v>
      </c>
      <c r="I91" s="236" t="s">
        <v>334</v>
      </c>
      <c r="J91" s="235" t="s">
        <v>328</v>
      </c>
    </row>
    <row r="92">
      <c r="A92" s="1"/>
      <c r="B92" s="194" t="s">
        <v>336</v>
      </c>
      <c r="C92" s="117">
        <v>0.0</v>
      </c>
      <c r="D92" s="232" t="s">
        <v>555</v>
      </c>
      <c r="E92" s="43">
        <v>0.0</v>
      </c>
      <c r="F92" s="166" t="s">
        <v>556</v>
      </c>
      <c r="G92" s="167">
        <v>0.0</v>
      </c>
      <c r="H92" s="168">
        <v>0.0</v>
      </c>
      <c r="I92" s="199" t="s">
        <v>338</v>
      </c>
      <c r="J92" s="239">
        <v>0.0</v>
      </c>
    </row>
    <row r="93">
      <c r="A93" s="1"/>
      <c r="B93" s="194" t="s">
        <v>339</v>
      </c>
      <c r="C93" s="117">
        <v>0.0</v>
      </c>
      <c r="D93" s="232" t="s">
        <v>557</v>
      </c>
      <c r="E93" s="43">
        <v>3.0</v>
      </c>
      <c r="F93" s="166" t="s">
        <v>558</v>
      </c>
      <c r="G93" s="167">
        <v>0.0</v>
      </c>
      <c r="H93" s="168">
        <v>0.0</v>
      </c>
      <c r="I93" s="199" t="s">
        <v>341</v>
      </c>
      <c r="J93" s="239">
        <v>0.0</v>
      </c>
    </row>
    <row r="94">
      <c r="A94" s="1"/>
      <c r="B94" s="234" t="s">
        <v>342</v>
      </c>
      <c r="C94" s="237">
        <v>0.0</v>
      </c>
      <c r="D94" s="236" t="s">
        <v>559</v>
      </c>
      <c r="E94" s="235">
        <v>3.0</v>
      </c>
      <c r="F94" s="236" t="s">
        <v>560</v>
      </c>
      <c r="G94" s="235">
        <v>0.0</v>
      </c>
      <c r="H94" s="237">
        <v>0.0</v>
      </c>
      <c r="I94" s="236" t="s">
        <v>344</v>
      </c>
      <c r="J94" s="235">
        <v>0.0</v>
      </c>
    </row>
    <row r="95">
      <c r="A95" s="1"/>
      <c r="B95" s="194" t="s">
        <v>345</v>
      </c>
      <c r="C95" s="117">
        <v>0.0</v>
      </c>
      <c r="D95" s="232" t="s">
        <v>561</v>
      </c>
      <c r="E95" s="43">
        <v>0.0</v>
      </c>
      <c r="F95" s="177" t="s">
        <v>562</v>
      </c>
      <c r="G95" s="242">
        <v>0.0</v>
      </c>
      <c r="H95" s="178">
        <v>0.0</v>
      </c>
      <c r="I95" s="199" t="s">
        <v>347</v>
      </c>
      <c r="J95" s="239">
        <v>0.0</v>
      </c>
    </row>
    <row r="96">
      <c r="A96" s="1"/>
      <c r="B96" s="194" t="s">
        <v>349</v>
      </c>
      <c r="C96" s="117">
        <v>0.0</v>
      </c>
      <c r="D96" s="232" t="s">
        <v>563</v>
      </c>
      <c r="E96" s="43">
        <v>8.0</v>
      </c>
      <c r="F96" s="177" t="s">
        <v>564</v>
      </c>
      <c r="G96" s="242">
        <v>6.0</v>
      </c>
      <c r="H96" s="178">
        <v>3.0</v>
      </c>
      <c r="I96" s="199" t="s">
        <v>351</v>
      </c>
      <c r="J96" s="239">
        <v>10.0</v>
      </c>
    </row>
    <row r="97">
      <c r="A97" s="1"/>
      <c r="B97" s="234" t="s">
        <v>353</v>
      </c>
      <c r="C97" s="237">
        <v>0.0</v>
      </c>
      <c r="D97" s="236" t="s">
        <v>565</v>
      </c>
      <c r="E97" s="235">
        <v>8.0</v>
      </c>
      <c r="F97" s="236" t="s">
        <v>566</v>
      </c>
      <c r="G97" s="235">
        <v>6.0</v>
      </c>
      <c r="H97" s="237">
        <v>3.0</v>
      </c>
      <c r="I97" s="236" t="s">
        <v>355</v>
      </c>
      <c r="J97" s="235">
        <v>10.0</v>
      </c>
    </row>
    <row r="98">
      <c r="A98" s="1"/>
      <c r="B98" s="194" t="s">
        <v>357</v>
      </c>
      <c r="C98" s="117">
        <v>0.0</v>
      </c>
      <c r="D98" s="232" t="s">
        <v>567</v>
      </c>
      <c r="E98" s="43">
        <v>0.0</v>
      </c>
      <c r="F98" s="177" t="s">
        <v>568</v>
      </c>
      <c r="G98" s="242">
        <v>0.0</v>
      </c>
      <c r="H98" s="178">
        <v>0.0</v>
      </c>
      <c r="I98" s="164" t="s">
        <v>359</v>
      </c>
      <c r="J98" s="176">
        <v>0.0</v>
      </c>
    </row>
    <row r="99">
      <c r="A99" s="1"/>
      <c r="B99" s="194" t="s">
        <v>360</v>
      </c>
      <c r="C99" s="117">
        <v>0.0</v>
      </c>
      <c r="D99" s="232" t="s">
        <v>569</v>
      </c>
      <c r="E99" s="43">
        <v>0.0</v>
      </c>
      <c r="F99" s="177" t="s">
        <v>570</v>
      </c>
      <c r="G99" s="242">
        <v>0.0</v>
      </c>
      <c r="H99" s="178">
        <v>0.0</v>
      </c>
      <c r="I99" s="164" t="s">
        <v>362</v>
      </c>
      <c r="J99" s="176">
        <v>6.0</v>
      </c>
    </row>
    <row r="100">
      <c r="A100" s="1"/>
      <c r="B100" s="234" t="s">
        <v>363</v>
      </c>
      <c r="C100" s="237">
        <v>0.0</v>
      </c>
      <c r="D100" s="236" t="s">
        <v>571</v>
      </c>
      <c r="E100" s="235">
        <v>0.0</v>
      </c>
      <c r="F100" s="236" t="s">
        <v>572</v>
      </c>
      <c r="G100" s="235">
        <v>0.0</v>
      </c>
      <c r="H100" s="237">
        <v>0.0</v>
      </c>
      <c r="I100" s="236" t="s">
        <v>365</v>
      </c>
      <c r="J100" s="235">
        <v>6.0</v>
      </c>
    </row>
    <row r="101">
      <c r="A101" s="1"/>
      <c r="B101" s="194" t="s">
        <v>366</v>
      </c>
      <c r="C101" s="117">
        <v>0.0</v>
      </c>
      <c r="D101" s="232" t="s">
        <v>573</v>
      </c>
      <c r="E101" s="43">
        <v>0.0</v>
      </c>
      <c r="F101" s="177" t="s">
        <v>574</v>
      </c>
      <c r="G101" s="242">
        <v>0.0</v>
      </c>
      <c r="H101" s="178">
        <v>0.0</v>
      </c>
      <c r="I101" s="164" t="s">
        <v>368</v>
      </c>
      <c r="J101" s="176">
        <v>0.0</v>
      </c>
    </row>
    <row r="102">
      <c r="A102" s="1"/>
      <c r="B102" s="194" t="s">
        <v>369</v>
      </c>
      <c r="C102" s="117">
        <v>0.0</v>
      </c>
      <c r="D102" s="232" t="s">
        <v>575</v>
      </c>
      <c r="E102" s="43">
        <v>0.0</v>
      </c>
      <c r="F102" s="177" t="s">
        <v>576</v>
      </c>
      <c r="G102" s="242">
        <v>0.0</v>
      </c>
      <c r="H102" s="178">
        <v>0.0</v>
      </c>
      <c r="I102" s="164" t="s">
        <v>371</v>
      </c>
      <c r="J102" s="176">
        <v>0.0</v>
      </c>
    </row>
    <row r="103">
      <c r="A103" s="1"/>
      <c r="B103" s="234" t="s">
        <v>372</v>
      </c>
      <c r="C103" s="237">
        <v>0.0</v>
      </c>
      <c r="D103" s="236" t="s">
        <v>577</v>
      </c>
      <c r="E103" s="235">
        <v>0.0</v>
      </c>
      <c r="F103" s="236" t="s">
        <v>334</v>
      </c>
      <c r="G103" s="235">
        <v>0.0</v>
      </c>
      <c r="H103" s="237">
        <v>0.0</v>
      </c>
      <c r="I103" s="236" t="s">
        <v>374</v>
      </c>
      <c r="J103" s="235">
        <v>0.0</v>
      </c>
    </row>
    <row r="104">
      <c r="A104" s="1"/>
      <c r="B104" s="175" t="s">
        <v>359</v>
      </c>
      <c r="C104" s="165">
        <v>0.0</v>
      </c>
      <c r="D104" s="232" t="s">
        <v>578</v>
      </c>
      <c r="E104" s="43">
        <v>0.0</v>
      </c>
      <c r="F104" s="166" t="s">
        <v>579</v>
      </c>
      <c r="G104" s="167">
        <v>0.0</v>
      </c>
      <c r="H104" s="168">
        <v>0.0</v>
      </c>
      <c r="I104" s="96"/>
      <c r="J104" s="23"/>
    </row>
    <row r="105">
      <c r="A105" s="1"/>
      <c r="B105" s="175" t="s">
        <v>362</v>
      </c>
      <c r="C105" s="165">
        <v>1.0</v>
      </c>
      <c r="D105" s="232" t="s">
        <v>580</v>
      </c>
      <c r="E105" s="43">
        <v>1.0</v>
      </c>
      <c r="F105" s="166" t="s">
        <v>581</v>
      </c>
      <c r="G105" s="167">
        <v>11.0</v>
      </c>
      <c r="H105" s="168">
        <v>9.0</v>
      </c>
      <c r="I105" s="96"/>
      <c r="J105" s="23"/>
    </row>
    <row r="106">
      <c r="A106" s="1"/>
      <c r="B106" s="234" t="s">
        <v>365</v>
      </c>
      <c r="C106" s="237">
        <v>1.0</v>
      </c>
      <c r="D106" s="236" t="s">
        <v>582</v>
      </c>
      <c r="E106" s="235">
        <v>1.0</v>
      </c>
      <c r="F106" s="236" t="s">
        <v>583</v>
      </c>
      <c r="G106" s="235">
        <v>11.0</v>
      </c>
      <c r="H106" s="237">
        <v>9.0</v>
      </c>
      <c r="I106" s="96"/>
      <c r="J106" s="23"/>
    </row>
    <row r="107">
      <c r="A107" s="1"/>
      <c r="B107" s="182" t="s">
        <v>378</v>
      </c>
      <c r="C107" s="263">
        <v>0.0</v>
      </c>
      <c r="D107" s="232" t="s">
        <v>584</v>
      </c>
      <c r="E107" s="43">
        <v>0.0</v>
      </c>
      <c r="F107" s="96"/>
      <c r="G107" s="23"/>
      <c r="H107" s="95"/>
      <c r="I107" s="96"/>
      <c r="J107" s="23"/>
    </row>
    <row r="108">
      <c r="A108" s="1"/>
      <c r="B108" s="182" t="s">
        <v>380</v>
      </c>
      <c r="C108" s="263">
        <v>3.0</v>
      </c>
      <c r="D108" s="232" t="s">
        <v>585</v>
      </c>
      <c r="E108" s="43">
        <v>0.0</v>
      </c>
      <c r="F108" s="96"/>
      <c r="G108" s="23"/>
      <c r="H108" s="95"/>
      <c r="I108" s="96"/>
      <c r="J108" s="23"/>
    </row>
    <row r="109">
      <c r="A109" s="1"/>
      <c r="B109" s="234" t="s">
        <v>382</v>
      </c>
      <c r="C109" s="237">
        <v>3.0</v>
      </c>
      <c r="D109" s="236" t="s">
        <v>586</v>
      </c>
      <c r="E109" s="235">
        <v>0.0</v>
      </c>
      <c r="F109" s="96"/>
      <c r="G109" s="23"/>
      <c r="H109" s="95"/>
      <c r="I109" s="96"/>
      <c r="J109" s="23"/>
    </row>
    <row r="110">
      <c r="A110" s="1"/>
      <c r="B110" s="175" t="s">
        <v>384</v>
      </c>
      <c r="C110" s="165">
        <v>0.0</v>
      </c>
      <c r="D110" s="96"/>
      <c r="E110" s="23"/>
      <c r="F110" s="96"/>
      <c r="G110" s="23"/>
      <c r="H110" s="95"/>
      <c r="I110" s="96"/>
      <c r="J110" s="23"/>
    </row>
    <row r="111">
      <c r="A111" s="1"/>
      <c r="B111" s="175" t="s">
        <v>386</v>
      </c>
      <c r="C111" s="165">
        <v>0.0</v>
      </c>
      <c r="D111" s="96"/>
      <c r="E111" s="23"/>
      <c r="F111" s="96"/>
      <c r="G111" s="23"/>
      <c r="H111" s="95"/>
      <c r="I111" s="96"/>
      <c r="J111" s="23"/>
    </row>
    <row r="112">
      <c r="A112" s="1"/>
      <c r="B112" s="234" t="s">
        <v>388</v>
      </c>
      <c r="C112" s="237">
        <v>0.0</v>
      </c>
      <c r="D112" s="96"/>
      <c r="E112" s="23"/>
      <c r="F112" s="96"/>
      <c r="G112" s="23"/>
      <c r="H112" s="95"/>
      <c r="I112" s="96"/>
      <c r="J112" s="23"/>
    </row>
    <row r="113">
      <c r="A113" s="246"/>
      <c r="B113" s="29"/>
      <c r="C113" s="198"/>
      <c r="D113" s="247"/>
      <c r="E113" s="29"/>
      <c r="F113" s="268"/>
      <c r="G113" s="29"/>
      <c r="H113" s="248"/>
      <c r="I113" s="247"/>
      <c r="J113" s="29"/>
    </row>
    <row r="114">
      <c r="A114" s="55"/>
      <c r="B114" s="37"/>
      <c r="C114" s="150"/>
      <c r="D114" s="151"/>
      <c r="E114" s="53"/>
      <c r="F114" s="151"/>
      <c r="G114" s="53"/>
      <c r="H114" s="150"/>
      <c r="I114" s="151"/>
      <c r="J114" s="53"/>
    </row>
  </sheetData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11" width="9.38"/>
  </cols>
  <sheetData>
    <row r="1" ht="19.5" customHeight="1">
      <c r="A1" s="1"/>
      <c r="B1" s="269" t="s">
        <v>1</v>
      </c>
      <c r="C1" s="270" t="s">
        <v>4</v>
      </c>
      <c r="D1" s="6" t="s">
        <v>5</v>
      </c>
      <c r="E1" s="271" t="s">
        <v>6</v>
      </c>
      <c r="F1" s="272" t="s">
        <v>9</v>
      </c>
      <c r="G1" s="273" t="s">
        <v>14</v>
      </c>
      <c r="H1" s="274" t="s">
        <v>15</v>
      </c>
      <c r="I1" s="155" t="s">
        <v>17</v>
      </c>
      <c r="J1" s="275" t="s">
        <v>23</v>
      </c>
      <c r="K1" s="22" t="s">
        <v>24</v>
      </c>
    </row>
    <row r="2">
      <c r="A2" s="47" t="s">
        <v>69</v>
      </c>
      <c r="B2" s="63"/>
      <c r="C2" s="62"/>
      <c r="D2" s="37"/>
      <c r="E2" s="61"/>
      <c r="F2" s="64"/>
      <c r="G2" s="276"/>
      <c r="H2" s="65"/>
      <c r="I2" s="61"/>
      <c r="J2" s="62"/>
      <c r="K2" s="37"/>
    </row>
    <row r="3">
      <c r="A3" s="66" t="s">
        <v>587</v>
      </c>
      <c r="B3" s="277">
        <v>0.64</v>
      </c>
      <c r="C3" s="278">
        <v>0.31</v>
      </c>
      <c r="D3" s="69"/>
      <c r="E3" s="279">
        <v>0.36</v>
      </c>
      <c r="F3" s="278">
        <v>0.74</v>
      </c>
      <c r="G3" s="278">
        <v>0.88</v>
      </c>
      <c r="H3" s="278">
        <v>0.82</v>
      </c>
      <c r="I3" s="279">
        <v>0.73</v>
      </c>
      <c r="J3" s="278">
        <v>0.89</v>
      </c>
      <c r="K3" s="279">
        <v>0.93</v>
      </c>
    </row>
    <row r="4">
      <c r="A4" s="66" t="s">
        <v>70</v>
      </c>
      <c r="B4" s="67"/>
      <c r="C4" s="68"/>
      <c r="D4" s="69"/>
      <c r="E4" s="69"/>
      <c r="F4" s="68"/>
      <c r="G4" s="68"/>
      <c r="H4" s="68"/>
      <c r="I4" s="69"/>
      <c r="J4" s="68"/>
      <c r="K4" s="69"/>
    </row>
    <row r="5">
      <c r="A5" s="70" t="s">
        <v>71</v>
      </c>
      <c r="B5" s="71"/>
      <c r="C5" s="72"/>
      <c r="D5" s="73"/>
      <c r="E5" s="73"/>
      <c r="F5" s="72"/>
      <c r="G5" s="72"/>
      <c r="H5" s="72"/>
      <c r="I5" s="75" t="s">
        <v>588</v>
      </c>
      <c r="J5" s="72"/>
      <c r="K5" s="73"/>
    </row>
    <row r="6">
      <c r="A6" s="70" t="s">
        <v>75</v>
      </c>
      <c r="B6" s="76" t="s">
        <v>589</v>
      </c>
      <c r="C6" s="74" t="s">
        <v>590</v>
      </c>
      <c r="D6" s="75" t="s">
        <v>591</v>
      </c>
      <c r="E6" s="75" t="s">
        <v>592</v>
      </c>
      <c r="F6" s="74" t="s">
        <v>593</v>
      </c>
      <c r="G6" s="74" t="s">
        <v>594</v>
      </c>
      <c r="H6" s="74" t="s">
        <v>595</v>
      </c>
      <c r="I6" s="75" t="s">
        <v>596</v>
      </c>
      <c r="J6" s="74" t="s">
        <v>597</v>
      </c>
      <c r="K6" s="75" t="s">
        <v>598</v>
      </c>
    </row>
    <row r="7">
      <c r="A7" s="70" t="s">
        <v>84</v>
      </c>
      <c r="B7" s="76" t="s">
        <v>599</v>
      </c>
      <c r="C7" s="74" t="s">
        <v>397</v>
      </c>
      <c r="D7" s="73"/>
      <c r="E7" s="73"/>
      <c r="F7" s="74" t="s">
        <v>600</v>
      </c>
      <c r="G7" s="74" t="s">
        <v>601</v>
      </c>
      <c r="H7" s="74" t="s">
        <v>602</v>
      </c>
      <c r="I7" s="75" t="s">
        <v>603</v>
      </c>
      <c r="J7" s="74" t="s">
        <v>604</v>
      </c>
      <c r="K7" s="75" t="s">
        <v>605</v>
      </c>
    </row>
    <row r="8">
      <c r="A8" s="70" t="s">
        <v>85</v>
      </c>
      <c r="B8" s="76" t="s">
        <v>606</v>
      </c>
      <c r="C8" s="74" t="s">
        <v>607</v>
      </c>
      <c r="D8" s="73"/>
      <c r="E8" s="75" t="s">
        <v>608</v>
      </c>
      <c r="F8" s="74" t="s">
        <v>609</v>
      </c>
      <c r="G8" s="74" t="s">
        <v>610</v>
      </c>
      <c r="H8" s="74" t="s">
        <v>611</v>
      </c>
      <c r="I8" s="75" t="s">
        <v>612</v>
      </c>
      <c r="J8" s="74" t="s">
        <v>613</v>
      </c>
      <c r="K8" s="75" t="s">
        <v>88</v>
      </c>
    </row>
    <row r="9">
      <c r="A9" s="66" t="s">
        <v>86</v>
      </c>
      <c r="B9" s="80" t="s">
        <v>614</v>
      </c>
      <c r="C9" s="78"/>
      <c r="D9" s="79"/>
      <c r="E9" s="79"/>
      <c r="F9" s="81" t="s">
        <v>615</v>
      </c>
      <c r="G9" s="81" t="s">
        <v>616</v>
      </c>
      <c r="H9" s="81" t="s">
        <v>617</v>
      </c>
      <c r="I9" s="82" t="s">
        <v>618</v>
      </c>
      <c r="J9" s="81" t="s">
        <v>619</v>
      </c>
      <c r="K9" s="82" t="s">
        <v>620</v>
      </c>
    </row>
    <row r="10">
      <c r="A10" s="66" t="s">
        <v>87</v>
      </c>
      <c r="B10" s="77"/>
      <c r="C10" s="78"/>
      <c r="D10" s="79"/>
      <c r="E10" s="79"/>
      <c r="F10" s="78"/>
      <c r="G10" s="78"/>
      <c r="H10" s="81" t="s">
        <v>621</v>
      </c>
      <c r="I10" s="82" t="s">
        <v>622</v>
      </c>
      <c r="J10" s="81" t="s">
        <v>623</v>
      </c>
      <c r="K10" s="79"/>
    </row>
    <row r="11">
      <c r="A11" s="70" t="s">
        <v>95</v>
      </c>
      <c r="B11" s="83"/>
      <c r="C11" s="84"/>
      <c r="D11" s="85"/>
      <c r="E11" s="85"/>
      <c r="F11" s="84"/>
      <c r="G11" s="84"/>
      <c r="H11" s="254" t="s">
        <v>624</v>
      </c>
      <c r="I11" s="85"/>
      <c r="J11" s="84"/>
      <c r="K11" s="280" t="s">
        <v>625</v>
      </c>
    </row>
    <row r="12">
      <c r="A12" s="70" t="s">
        <v>96</v>
      </c>
      <c r="B12" s="281" t="s">
        <v>626</v>
      </c>
      <c r="C12" s="84"/>
      <c r="D12" s="85"/>
      <c r="E12" s="85"/>
      <c r="F12" s="84"/>
      <c r="G12" s="84"/>
      <c r="H12" s="84"/>
      <c r="I12" s="85"/>
      <c r="J12" s="254" t="s">
        <v>397</v>
      </c>
      <c r="K12" s="85"/>
    </row>
    <row r="13">
      <c r="A13" s="70" t="s">
        <v>97</v>
      </c>
      <c r="B13" s="86"/>
      <c r="C13" s="87"/>
      <c r="D13" s="88"/>
      <c r="E13" s="88"/>
      <c r="F13" s="87"/>
      <c r="G13" s="87"/>
      <c r="H13" s="87"/>
      <c r="I13" s="88"/>
      <c r="J13" s="87"/>
      <c r="K13" s="88"/>
    </row>
    <row r="14">
      <c r="A14" s="70" t="s">
        <v>98</v>
      </c>
      <c r="B14" s="282" t="s">
        <v>627</v>
      </c>
      <c r="C14" s="87"/>
      <c r="D14" s="88"/>
      <c r="E14" s="283" t="s">
        <v>399</v>
      </c>
      <c r="F14" s="87"/>
      <c r="G14" s="255" t="s">
        <v>628</v>
      </c>
      <c r="H14" s="255" t="s">
        <v>624</v>
      </c>
      <c r="I14" s="283" t="s">
        <v>629</v>
      </c>
      <c r="J14" s="87"/>
      <c r="K14" s="283" t="s">
        <v>630</v>
      </c>
    </row>
    <row r="15">
      <c r="A15" s="70" t="s">
        <v>99</v>
      </c>
      <c r="B15" s="86"/>
      <c r="C15" s="87"/>
      <c r="D15" s="88"/>
      <c r="E15" s="88"/>
      <c r="F15" s="87"/>
      <c r="G15" s="87"/>
      <c r="H15" s="87"/>
      <c r="I15" s="88"/>
      <c r="J15" s="87"/>
      <c r="K15" s="88"/>
    </row>
    <row r="16">
      <c r="A16" s="70" t="s">
        <v>100</v>
      </c>
      <c r="B16" s="282" t="s">
        <v>631</v>
      </c>
      <c r="C16" s="87"/>
      <c r="D16" s="88"/>
      <c r="E16" s="88"/>
      <c r="F16" s="87"/>
      <c r="G16" s="255" t="s">
        <v>632</v>
      </c>
      <c r="H16" s="87"/>
      <c r="I16" s="88"/>
      <c r="J16" s="87"/>
      <c r="K16" s="283" t="s">
        <v>625</v>
      </c>
    </row>
    <row r="17">
      <c r="A17" s="70" t="s">
        <v>633</v>
      </c>
      <c r="B17" s="86"/>
      <c r="C17" s="87"/>
      <c r="D17" s="88"/>
      <c r="E17" s="88"/>
      <c r="F17" s="87"/>
      <c r="G17" s="255" t="s">
        <v>632</v>
      </c>
      <c r="H17" s="87"/>
      <c r="I17" s="88"/>
      <c r="J17" s="87"/>
      <c r="K17" s="88"/>
    </row>
    <row r="18">
      <c r="A18" s="66" t="s">
        <v>101</v>
      </c>
      <c r="B18" s="89">
        <v>3.0</v>
      </c>
      <c r="C18" s="90">
        <v>0.0</v>
      </c>
      <c r="D18" s="91">
        <v>0.0</v>
      </c>
      <c r="E18" s="91">
        <v>0.0</v>
      </c>
      <c r="F18" s="90">
        <v>66.0</v>
      </c>
      <c r="G18" s="90">
        <v>118.0</v>
      </c>
      <c r="H18" s="90">
        <v>0.0</v>
      </c>
      <c r="I18" s="91">
        <v>0.0</v>
      </c>
      <c r="J18" s="90">
        <v>115.0</v>
      </c>
      <c r="K18" s="91">
        <v>72.0</v>
      </c>
    </row>
    <row r="19">
      <c r="A19" s="66" t="s">
        <v>102</v>
      </c>
      <c r="B19" s="92">
        <v>0.0</v>
      </c>
      <c r="C19" s="93">
        <v>0.0</v>
      </c>
      <c r="D19" s="94">
        <v>0.0</v>
      </c>
      <c r="E19" s="94">
        <v>0.0</v>
      </c>
      <c r="F19" s="93">
        <v>0.0</v>
      </c>
      <c r="G19" s="93">
        <v>0.0</v>
      </c>
      <c r="H19" s="93">
        <v>0.0</v>
      </c>
      <c r="I19" s="94">
        <v>0.0</v>
      </c>
      <c r="J19" s="93">
        <v>0.0</v>
      </c>
      <c r="K19" s="94">
        <v>0.0</v>
      </c>
    </row>
    <row r="20">
      <c r="A20" s="1"/>
      <c r="B20" s="95"/>
      <c r="C20" s="96"/>
      <c r="D20" s="23"/>
      <c r="E20" s="95"/>
      <c r="F20" s="97"/>
      <c r="G20" s="97"/>
      <c r="H20" s="96"/>
      <c r="I20" s="95"/>
      <c r="J20" s="96"/>
      <c r="K20" s="23"/>
    </row>
    <row r="21">
      <c r="A21" s="24" t="s">
        <v>103</v>
      </c>
      <c r="B21" s="95"/>
      <c r="C21" s="96"/>
      <c r="D21" s="23"/>
      <c r="E21" s="95"/>
      <c r="F21" s="97"/>
      <c r="G21" s="97"/>
      <c r="H21" s="96"/>
      <c r="I21" s="95"/>
      <c r="J21" s="96"/>
      <c r="K21" s="23"/>
    </row>
    <row r="22">
      <c r="A22" s="25" t="s">
        <v>634</v>
      </c>
      <c r="B22" s="284"/>
      <c r="C22" s="285"/>
      <c r="D22" s="286"/>
      <c r="E22" s="287"/>
      <c r="F22" s="288">
        <v>14.0</v>
      </c>
      <c r="G22" s="288"/>
      <c r="H22" s="285">
        <v>11.0</v>
      </c>
      <c r="I22" s="287"/>
      <c r="J22" s="285"/>
      <c r="K22" s="286"/>
    </row>
    <row r="23">
      <c r="A23" s="25" t="s">
        <v>635</v>
      </c>
      <c r="B23" s="284">
        <v>9.0</v>
      </c>
      <c r="C23" s="285">
        <v>15.0</v>
      </c>
      <c r="D23" s="286">
        <v>6.0</v>
      </c>
      <c r="E23" s="287">
        <v>17.0</v>
      </c>
      <c r="F23" s="288">
        <v>14.0</v>
      </c>
      <c r="G23" s="288">
        <v>21.0</v>
      </c>
      <c r="H23" s="285">
        <v>20.0</v>
      </c>
      <c r="I23" s="287">
        <v>14.0</v>
      </c>
      <c r="J23" s="285"/>
      <c r="K23" s="286">
        <v>18.0</v>
      </c>
    </row>
    <row r="24">
      <c r="A24" s="25" t="s">
        <v>636</v>
      </c>
      <c r="B24" s="284"/>
      <c r="C24" s="285"/>
      <c r="D24" s="286"/>
      <c r="E24" s="287"/>
      <c r="F24" s="288"/>
      <c r="G24" s="288"/>
      <c r="H24" s="285"/>
      <c r="I24" s="287"/>
      <c r="J24" s="285">
        <v>13.0</v>
      </c>
      <c r="K24" s="286"/>
    </row>
    <row r="25">
      <c r="A25" s="103" t="s">
        <v>106</v>
      </c>
      <c r="B25" s="104"/>
      <c r="C25" s="105"/>
      <c r="D25" s="108"/>
      <c r="E25" s="106">
        <v>13.0</v>
      </c>
      <c r="F25" s="107"/>
      <c r="G25" s="107"/>
      <c r="H25" s="105"/>
      <c r="I25" s="106"/>
      <c r="J25" s="105"/>
      <c r="K25" s="108"/>
    </row>
    <row r="26">
      <c r="A26" s="103" t="s">
        <v>107</v>
      </c>
      <c r="B26" s="109"/>
      <c r="C26" s="110">
        <v>15.0</v>
      </c>
      <c r="D26" s="113">
        <v>5.0</v>
      </c>
      <c r="E26" s="111"/>
      <c r="F26" s="112"/>
      <c r="G26" s="112"/>
      <c r="H26" s="110">
        <v>19.0</v>
      </c>
      <c r="I26" s="111">
        <v>14.0</v>
      </c>
      <c r="J26" s="110">
        <v>19.0</v>
      </c>
      <c r="K26" s="113">
        <v>18.0</v>
      </c>
    </row>
    <row r="27">
      <c r="A27" s="1"/>
      <c r="B27" s="95"/>
      <c r="C27" s="96"/>
      <c r="D27" s="23"/>
      <c r="E27" s="95"/>
      <c r="F27" s="97"/>
      <c r="G27" s="97"/>
      <c r="H27" s="96"/>
      <c r="I27" s="95"/>
      <c r="J27" s="96"/>
      <c r="K27" s="23"/>
    </row>
    <row r="28">
      <c r="A28" s="24" t="s">
        <v>108</v>
      </c>
      <c r="B28" s="95"/>
      <c r="C28" s="96"/>
      <c r="D28" s="23"/>
      <c r="E28" s="95"/>
      <c r="F28" s="97"/>
      <c r="G28" s="97"/>
      <c r="H28" s="96"/>
      <c r="I28" s="95"/>
      <c r="J28" s="96"/>
      <c r="K28" s="23"/>
    </row>
    <row r="29">
      <c r="A29" s="114" t="s">
        <v>109</v>
      </c>
      <c r="B29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(37641)",60347)</f>
        <v>60347</v>
      </c>
      <c r="C29" s="116">
        <f>HYPERLINK("https://classic.warcraftlogs.com/reports/GPAaJQBnF19VLft4#type=damage-taken&amp;filter=encounterid%20%21%3D%20724&amp;options=4098&amp;by=ability&amp;translate=true&amp;boss=-2&amp;wipes=2&amp;difficulty=0&amp;source=24&amp;view=events&amp;pins=2%24Off%24%23244F4B%24expression%24ability.id%20IN"&amp;"%20(37641)",49875)</f>
        <v>49875</v>
      </c>
      <c r="D29" s="119"/>
      <c r="E29" s="123">
        <f>HYPERLINK("https://classic.warcraftlogs.com/reports/GPAaJQBnF19VLft4#type=damage-taken&amp;filter=encounterid%20%21%3D%20724&amp;options=4098&amp;by=ability&amp;translate=true&amp;boss=-2&amp;wipes=2&amp;difficulty=0&amp;source=16&amp;view=events&amp;pins=2%24Off%24%23244F4B%24expression%24ability.id%20IN"&amp;"%20(37641)",9975)</f>
        <v>9975</v>
      </c>
      <c r="F29" s="118">
        <f>HYPERLINK("https://classic.warcraftlogs.com/reports/GPAaJQBnF19VLft4#type=damage-taken&amp;filter=encounterid%20%21%3D%20724&amp;options=4098&amp;by=ability&amp;translate=true&amp;boss=-2&amp;wipes=2&amp;difficulty=0&amp;source=38&amp;view=events&amp;pins=2%24Off%24%23244F4B%24expression%24ability.id%20IN"&amp;"%20(37641)",88350)</f>
        <v>88350</v>
      </c>
      <c r="G29" s="118">
        <f>HYPERLINK("https://classic.warcraftlogs.com/reports/GPAaJQBnF19VLft4#type=damage-taken&amp;filter=encounterid%20%21%3D%20724&amp;options=4098&amp;by=ability&amp;translate=true&amp;boss=-2&amp;wipes=2&amp;difficulty=0&amp;source=27&amp;view=events&amp;pins=2%24Off%24%23244F4B%24expression%24ability.id%20IN"&amp;"%20(37641)",58900)</f>
        <v>58900</v>
      </c>
      <c r="H29" s="116">
        <f>HYPERLINK("https://classic.warcraftlogs.com/reports/GPAaJQBnF19VLft4#type=damage-taken&amp;filter=encounterid%20%21%3D%20724&amp;options=4098&amp;by=ability&amp;translate=true&amp;boss=-2&amp;wipes=2&amp;difficulty=0&amp;source=28&amp;view=events&amp;pins=2%24Off%24%23244F4B%24expression%24ability.id%20IN"&amp;"%20(37641)",91675)</f>
        <v>91675</v>
      </c>
      <c r="I29" s="123">
        <f>HYPERLINK("https://classic.warcraftlogs.com/reports/GPAaJQBnF19VLft4#type=damage-taken&amp;filter=encounterid%20%21%3D%20724&amp;options=4098&amp;by=ability&amp;translate=true&amp;boss=-2&amp;wipes=2&amp;difficulty=0&amp;source=15&amp;view=events&amp;pins=2%24Off%24%23244F4B%24expression%24ability.id%20IN"&amp;"%20(37641)",80070)</f>
        <v>80070</v>
      </c>
      <c r="J29" s="116">
        <f>HYPERLINK("https://classic.warcraftlogs.com/reports/GPAaJQBnF19VLft4#type=damage-taken&amp;filter=encounterid%20%21%3D%20724&amp;options=4098&amp;by=ability&amp;translate=true&amp;boss=-2&amp;wipes=2&amp;difficulty=0&amp;source=19&amp;view=events&amp;pins=2%24Off%24%23244F4B%24expression%24ability.id%20IN"&amp;"%20(37641)",88269)</f>
        <v>88269</v>
      </c>
      <c r="K29" s="120">
        <f>HYPERLINK("https://classic.warcraftlogs.com/reports/GPAaJQBnF19VLft4#type=damage-taken&amp;filter=encounterid%20%21%3D%20724&amp;options=4098&amp;by=ability&amp;translate=true&amp;boss=-2&amp;wipes=2&amp;difficulty=0&amp;source=8&amp;view=events&amp;pins=2%24Off%24%23244F4B%24expression%24ability.id%20IN%"&amp;"20(37641)",83149)</f>
        <v>83149</v>
      </c>
    </row>
    <row r="30">
      <c r="A30" s="114" t="s">
        <v>110</v>
      </c>
      <c r="B30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(37284)",20888)</f>
        <v>20888</v>
      </c>
      <c r="C30" s="116">
        <f>HYPERLINK("https://classic.warcraftlogs.com/reports/GPAaJQBnF19VLft4#type=damage-taken&amp;filter=encounterid%20%21%3D%20724&amp;options=4098&amp;by=ability&amp;translate=true&amp;boss=-2&amp;wipes=2&amp;difficulty=0&amp;source=24&amp;view=events&amp;pins=2%24Off%24%23244F4B%24expression%24ability.id%20IN"&amp;"%20(37284)",1500)</f>
        <v>1500</v>
      </c>
      <c r="D30" s="120">
        <f>HYPERLINK("https://classic.warcraftlogs.com/reports/GPAaJQBnF19VLft4#type=damage-taken&amp;filter=encounterid%20%21%3D%20724&amp;options=4098&amp;by=ability&amp;translate=true&amp;boss=-2&amp;wipes=2&amp;difficulty=0&amp;source=9&amp;view=events&amp;pins=2%24Off%24%23244F4B%24expression%24ability.id%20IN%"&amp;"20(37284)",6000)</f>
        <v>6000</v>
      </c>
      <c r="E30" s="123">
        <f>HYPERLINK("https://classic.warcraftlogs.com/reports/GPAaJQBnF19VLft4#type=damage-taken&amp;filter=encounterid%20%21%3D%20724&amp;options=4098&amp;by=ability&amp;translate=true&amp;boss=-2&amp;wipes=2&amp;difficulty=0&amp;source=16&amp;view=events&amp;pins=2%24Off%24%23244F4B%24expression%24ability.id%20IN"&amp;"%20(37284)",2000)</f>
        <v>2000</v>
      </c>
      <c r="F30" s="118">
        <f>HYPERLINK("https://classic.warcraftlogs.com/reports/GPAaJQBnF19VLft4#type=damage-taken&amp;filter=encounterid%20%21%3D%20724&amp;options=4098&amp;by=ability&amp;translate=true&amp;boss=-2&amp;wipes=2&amp;difficulty=0&amp;source=38&amp;view=events&amp;pins=2%24Off%24%23244F4B%24expression%24ability.id%20IN"&amp;"%20(37284)",10500)</f>
        <v>10500</v>
      </c>
      <c r="G30" s="118">
        <f>HYPERLINK("https://classic.warcraftlogs.com/reports/GPAaJQBnF19VLft4#type=damage-taken&amp;filter=encounterid%20%21%3D%20724&amp;options=4098&amp;by=ability&amp;translate=true&amp;boss=-2&amp;wipes=2&amp;difficulty=0&amp;source=27&amp;view=events&amp;pins=2%24Off%24%23244F4B%24expression%24ability.id%20IN"&amp;"%20(37284)",11000)</f>
        <v>11000</v>
      </c>
      <c r="H30" s="116">
        <f>HYPERLINK("https://classic.warcraftlogs.com/reports/GPAaJQBnF19VLft4#type=damage-taken&amp;filter=encounterid%20%21%3D%20724&amp;options=4098&amp;by=ability&amp;translate=true&amp;boss=-2&amp;wipes=2&amp;difficulty=0&amp;source=28&amp;view=events&amp;pins=2%24Off%24%23244F4B%24expression%24ability.id%20IN"&amp;"%20(37284)",10000)</f>
        <v>10000</v>
      </c>
      <c r="I30" s="123">
        <f>HYPERLINK("https://classic.warcraftlogs.com/reports/GPAaJQBnF19VLft4#type=damage-taken&amp;filter=encounterid%20%21%3D%20724&amp;options=4098&amp;by=ability&amp;translate=true&amp;boss=-2&amp;wipes=2&amp;difficulty=0&amp;source=15&amp;view=events&amp;pins=2%24Off%24%23244F4B%24expression%24ability.id%20IN"&amp;"%20(37284)",23898)</f>
        <v>23898</v>
      </c>
      <c r="J30" s="116">
        <f>HYPERLINK("https://classic.warcraftlogs.com/reports/GPAaJQBnF19VLft4#type=damage-taken&amp;filter=encounterid%20%21%3D%20724&amp;options=4098&amp;by=ability&amp;translate=true&amp;boss=-2&amp;wipes=2&amp;difficulty=0&amp;source=19&amp;view=events&amp;pins=2%24Off%24%23244F4B%24expression%24ability.id%20IN"&amp;"%20(37284)",27953)</f>
        <v>27953</v>
      </c>
      <c r="K30" s="120">
        <f>HYPERLINK("https://classic.warcraftlogs.com/reports/GPAaJQBnF19VLft4#type=damage-taken&amp;filter=encounterid%20%21%3D%20724&amp;options=4098&amp;by=ability&amp;translate=true&amp;boss=-2&amp;wipes=2&amp;difficulty=0&amp;source=8&amp;view=events&amp;pins=2%24Off%24%23244F4B%24expression%24ability.id%20IN%"&amp;"20(37284)",6000)</f>
        <v>6000</v>
      </c>
    </row>
    <row r="31">
      <c r="A31" s="114" t="s">
        <v>111</v>
      </c>
      <c r="B31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(3)",2964)</f>
        <v>2964</v>
      </c>
      <c r="C31" s="116">
        <f>HYPERLINK("https://classic.warcraftlogs.com/reports/GPAaJQBnF19VLft4#type=damage-taken&amp;filter=encounterid%20%21%3D%20724&amp;options=4098&amp;by=ability&amp;translate=true&amp;boss=-2&amp;wipes=2&amp;difficulty=0&amp;source=24&amp;view=events&amp;pins=2%24Off%24%23244F4B%24expression%24ability.id%20IN"&amp;"%20(3)",11040)</f>
        <v>11040</v>
      </c>
      <c r="D31" s="119"/>
      <c r="E31" s="123">
        <f>HYPERLINK("https://classic.warcraftlogs.com/reports/GPAaJQBnF19VLft4#type=damage-taken&amp;filter=encounterid%20%21%3D%20724&amp;options=4098&amp;by=ability&amp;translate=true&amp;boss=-2&amp;wipes=2&amp;difficulty=0&amp;source=16&amp;view=events&amp;pins=2%24Off%24%23244F4B%24expression%24ability.id%20IN"&amp;"%20(3)",9391)</f>
        <v>9391</v>
      </c>
      <c r="F31" s="118">
        <f>HYPERLINK("https://classic.warcraftlogs.com/reports/GPAaJQBnF19VLft4#type=damage-taken&amp;filter=encounterid%20%21%3D%20724&amp;options=4098&amp;by=ability&amp;translate=true&amp;boss=-2&amp;wipes=2&amp;difficulty=0&amp;source=38&amp;view=events&amp;pins=2%24Off%24%23244F4B%24expression%24ability.id%20IN"&amp;"%20(3)",2084)</f>
        <v>2084</v>
      </c>
      <c r="G31" s="124"/>
      <c r="H31" s="116">
        <f>HYPERLINK("https://classic.warcraftlogs.com/reports/GPAaJQBnF19VLft4#type=damage-taken&amp;filter=encounterid%20%21%3D%20724&amp;options=4098&amp;by=ability&amp;translate=true&amp;boss=-2&amp;wipes=2&amp;difficulty=0&amp;source=28&amp;view=events&amp;pins=2%24Off%24%23244F4B%24expression%24ability.id%20IN"&amp;"%20(3)",1568)</f>
        <v>1568</v>
      </c>
      <c r="I31" s="123">
        <f>HYPERLINK("https://classic.warcraftlogs.com/reports/GPAaJQBnF19VLft4#type=damage-taken&amp;filter=encounterid%20%21%3D%20724&amp;options=4098&amp;by=ability&amp;translate=true&amp;boss=-2&amp;wipes=2&amp;difficulty=0&amp;source=15&amp;view=events&amp;pins=2%24Off%24%23244F4B%24expression%24ability.id%20IN"&amp;"%20(3)",3279)</f>
        <v>3279</v>
      </c>
      <c r="J31" s="116">
        <f>HYPERLINK("https://classic.warcraftlogs.com/reports/GPAaJQBnF19VLft4#type=damage-taken&amp;filter=encounterid%20%21%3D%20724&amp;options=4098&amp;by=ability&amp;translate=true&amp;boss=-2&amp;wipes=2&amp;difficulty=0&amp;source=19&amp;view=events&amp;pins=2%24Off%24%23244F4B%24expression%24ability.id%20IN"&amp;"%20(3)",1804)</f>
        <v>1804</v>
      </c>
      <c r="K31" s="120">
        <f>HYPERLINK("https://classic.warcraftlogs.com/reports/GPAaJQBnF19VLft4#type=damage-taken&amp;filter=encounterid%20%21%3D%20724&amp;options=4098&amp;by=ability&amp;translate=true&amp;boss=-2&amp;wipes=2&amp;difficulty=0&amp;source=8&amp;view=events&amp;pins=2%24Off%24%23244F4B%24expression%24ability.id%20IN%"&amp;"20(3)",1671)</f>
        <v>1671</v>
      </c>
    </row>
    <row r="32">
      <c r="A32" s="114" t="s">
        <v>112</v>
      </c>
      <c r="B32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(35383)",5060)</f>
        <v>5060</v>
      </c>
      <c r="C32" s="121"/>
      <c r="D32" s="119"/>
      <c r="E32" s="117"/>
      <c r="F32" s="124"/>
      <c r="G32" s="118">
        <f>HYPERLINK("https://classic.warcraftlogs.com/reports/GPAaJQBnF19VLft4#type=damage-taken&amp;filter=encounterid%20%21%3D%20724&amp;options=4098&amp;by=ability&amp;translate=true&amp;boss=-2&amp;wipes=2&amp;difficulty=0&amp;source=27&amp;view=events&amp;pins=2%24Off%24%23244F4B%24expression%24ability.id%20IN"&amp;"%20(35383)",5435)</f>
        <v>5435</v>
      </c>
      <c r="H32" s="116">
        <f>HYPERLINK("https://classic.warcraftlogs.com/reports/GPAaJQBnF19VLft4#type=damage-taken&amp;filter=encounterid%20%21%3D%20724&amp;options=4098&amp;by=ability&amp;translate=true&amp;boss=-2&amp;wipes=2&amp;difficulty=0&amp;source=28&amp;view=events&amp;pins=2%24Off%24%23244F4B%24expression%24ability.id%20IN"&amp;"%20(35383)",2707)</f>
        <v>2707</v>
      </c>
      <c r="I32" s="117"/>
      <c r="J32" s="121"/>
      <c r="K32" s="119"/>
    </row>
    <row r="33">
      <c r="A33" s="114" t="s">
        <v>637</v>
      </c>
      <c r="B33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(36721)",10286)</f>
        <v>10286</v>
      </c>
      <c r="C33" s="121"/>
      <c r="D33" s="119"/>
      <c r="E33" s="117"/>
      <c r="F33" s="124"/>
      <c r="G33" s="118">
        <f>HYPERLINK("https://classic.warcraftlogs.com/reports/GPAaJQBnF19VLft4#type=damage-taken&amp;filter=encounterid%20%21%3D%20724&amp;options=4098&amp;by=ability&amp;translate=true&amp;boss=-2&amp;wipes=2&amp;difficulty=0&amp;source=27&amp;view=events&amp;pins=2%24Off%24%23244F4B%24expression%24ability.id%20IN"&amp;"%20(36721)",9451)</f>
        <v>9451</v>
      </c>
      <c r="H33" s="121"/>
      <c r="I33" s="117"/>
      <c r="J33" s="116">
        <f>HYPERLINK("https://classic.warcraftlogs.com/reports/GPAaJQBnF19VLft4#type=damage-taken&amp;filter=encounterid%20%21%3D%20724&amp;options=4098&amp;by=ability&amp;translate=true&amp;boss=-2&amp;wipes=2&amp;difficulty=0&amp;source=19&amp;view=events&amp;pins=2%24Off%24%23244F4B%24expression%24ability.id%20IN"&amp;"%20(36721)",5058)</f>
        <v>5058</v>
      </c>
      <c r="K33" s="119"/>
    </row>
    <row r="34">
      <c r="A34" s="114" t="s">
        <v>638</v>
      </c>
      <c r="B34" s="122"/>
      <c r="C34" s="116">
        <f>HYPERLINK("https://classic.warcraftlogs.com/reports/GPAaJQBnF19VLft4#type=damage-taken&amp;filter=encounterid%20%21%3D%20724&amp;options=4098&amp;by=ability&amp;translate=true&amp;boss=-2&amp;wipes=2&amp;difficulty=0&amp;source=24&amp;view=events&amp;pins=2%24Off%24%23244F4B%24expression%24ability.id%20IN"&amp;"%20(34190)",5473)</f>
        <v>5473</v>
      </c>
      <c r="D34" s="120">
        <f>HYPERLINK("https://classic.warcraftlogs.com/reports/GPAaJQBnF19VLft4#type=damage-taken&amp;filter=encounterid%20%21%3D%20724&amp;options=4098&amp;by=ability&amp;translate=true&amp;boss=-2&amp;wipes=2&amp;difficulty=0&amp;source=9&amp;view=events&amp;pins=2%24Off%24%23244F4B%24expression%24ability.id%20IN%"&amp;"20(34190)",6042)</f>
        <v>6042</v>
      </c>
      <c r="E34" s="117"/>
      <c r="F34" s="124"/>
      <c r="G34" s="124"/>
      <c r="H34" s="121"/>
      <c r="I34" s="117"/>
      <c r="J34" s="121"/>
      <c r="K34" s="119"/>
    </row>
    <row r="35">
      <c r="A35" s="114" t="s">
        <v>639</v>
      </c>
      <c r="B35" s="115">
        <f>HYPERLINK("https://classic.warcraftlogs.com/reports/GPAaJQBnF19VLft4#type=damage-taken&amp;filter=encounterid%20%21%3D%20724&amp;options=4098&amp;by=ability&amp;translate=true&amp;boss=-2&amp;wipes=2&amp;difficulty=0&amp;source=29&amp;view=events&amp;pins=2%24Off%24%23244F4B%24expression%24ability.id%20IN"&amp;"%20(34342)",4823)</f>
        <v>4823</v>
      </c>
      <c r="C35" s="121"/>
      <c r="D35" s="119"/>
      <c r="E35" s="117"/>
      <c r="F35" s="124"/>
      <c r="G35" s="124"/>
      <c r="H35" s="121"/>
      <c r="I35" s="117"/>
      <c r="J35" s="121"/>
      <c r="K35" s="119"/>
    </row>
    <row r="36">
      <c r="A36" s="114" t="s">
        <v>116</v>
      </c>
      <c r="B36" s="131"/>
      <c r="C36" s="136">
        <f>HYPERLINK("https://classic.warcraftlogs.com/reports/GPAaJQBnF19VLft4#type=damage&amp;filter=encounterid%20%21%3D%20724&amp;targetclass=player&amp;by=target&amp;translate=true&amp;boss=-2&amp;wipes=2&amp;difficulty=0&amp;source=24",25)</f>
        <v>25</v>
      </c>
      <c r="D36" s="135"/>
      <c r="E36" s="133"/>
      <c r="F36" s="134">
        <f>HYPERLINK("https://classic.warcraftlogs.com/reports/GPAaJQBnF19VLft4#type=damage&amp;filter=encounterid%20%21%3D%20724&amp;targetclass=player&amp;by=target&amp;translate=true&amp;boss=-2&amp;wipes=2&amp;difficulty=0&amp;source=38",51)</f>
        <v>51</v>
      </c>
      <c r="G36" s="134">
        <f>HYPERLINK("https://classic.warcraftlogs.com/reports/GPAaJQBnF19VLft4#type=damage&amp;filter=encounterid%20%21%3D%20724&amp;targetclass=player&amp;by=target&amp;translate=true&amp;boss=-2&amp;wipes=2&amp;difficulty=0&amp;source=27",298)</f>
        <v>298</v>
      </c>
      <c r="H36" s="132"/>
      <c r="I36" s="133"/>
      <c r="J36" s="132"/>
      <c r="K36" s="135"/>
    </row>
    <row r="37">
      <c r="A37" s="114" t="s">
        <v>117</v>
      </c>
      <c r="B37" s="131"/>
      <c r="C37" s="132"/>
      <c r="D37" s="135"/>
      <c r="E37" s="133"/>
      <c r="F37" s="134">
        <f>HYPERLINK("https://classic.warcraftlogs.com/reports/GPAaJQBnF19VLft4#type=damage-taken&amp;pins=2%24Off%24%23244F4B%24expression%24NOT%20IN%20RANGE%20FROM%20type%20%3D%20%22applydebuff%22%20AND%20ability.id%20%3D%20%2229546%22%20AND%20target.name%3D%22Authentica%22%20TO"&amp;"%20type%20%3D%20%22removedebuff%22%20and%20ability.id%3D%2229546%22%20AND%20target.name%3D%22Authentica%22%20END%20AND%20NOT%20IN%20RANGE%20FROM%20type%20%3D%20%22applydebuff%22%20AND%20ability.id%20%3D%20%2245717%22%20AND%20target.name%3D%22Authentica%22"&amp;"%20TO%20type%20%3D%20%22removedebuff%22%20and%20ability.id%3D%2245717%22%20AND%20target.name%3D%22Authentica%22%20END%20AND%20NOT%20IN%20RANGE%20FROM%20type%20%3D%20%22applydebuff%22%20AND%20ability.id%20%3D%20%2237122%22%20AND%20target.name%3D%22Authenti"&amp;"ca%22%20TO%20type%20%3D%20%22removedebuff%22%20and%20ability.id%3D%2237122%22%20AND%20target.name%3D%22Authentica%22%20END%20AND%20NOT%20IN%20RANGE%20FROM%20type%20%3D%20%22applydebuff%22%20AND%20ability.id%20%3D%20%2237135%22%20AND%20target.name%3D%22Aut"&amp;"hentica%22%20TO%20type%20%3D%20%22removedebuff%22%20and%20ability.id%3D%2237135%22%20AND%20target.name%3D%22Authentica%22%20END%20AND%20NOT%20IN%20RANGE%20FROM%20type%20%3D%20%22applydebuff%22%20AND%20ability.id%20%3D%20%2241345%22%20AND%20target.name%3D%"&amp;"22Authentica%22%20TO%20type%20%3D%20%22removedebuff%22%20and%20ability.id%3D%2241345%22%20AND%20target.name%3D%22Authentica%22%20END%20AND%20NOT%20IN%20RANGE%20FROM%20type%20%3D%20%22applydebuff%22%20AND%20ability.id%20%3D%20%2243361%22%20AND%20target.nam"&amp;"e%3D%22Authentica%22%20TO%20type%20%3D%20%22removedebuff%22%20and%20ability.id%3D%2243361%22%20AND%20target.name%3D%22Authentica%22%20END%20AND%20encounterid%20%21%3D%20724%20AND%20ability.id%20%21%3D%2046768%20&amp;options=4135&amp;by=target&amp;translate=true&amp;boss="&amp;"-2&amp;wipes=2&amp;difficulty=0&amp;view=events&amp;target=38",7712)</f>
        <v>7712</v>
      </c>
      <c r="G37" s="289"/>
      <c r="H37" s="132"/>
      <c r="I37" s="133"/>
      <c r="J37" s="136">
        <f>HYPERLINK("https://classic.warcraftlogs.com/reports/GPAaJQBnF19VLft4#type=damage-taken&amp;pins=2%24Off%24%23244F4B%24expression%24NOT%20IN%20RANGE%20FROM%20type%20%3D%20%22applydebuff%22%20AND%20ability.id%20%3D%20%2229546%22%20AND%20target.name%3D%22Madnap%22%20TO%20t"&amp;"ype%20%3D%20%22removedebuff%22%20and%20ability.id%3D%2229546%22%20AND%20target.name%3D%22Madnap%22%20END%20AND%20NOT%20IN%20RANGE%20FROM%20type%20%3D%20%22applydebuff%22%20AND%20ability.id%20%3D%20%2245717%22%20AND%20target.name%3D%22Madnap%22%20TO%20type"&amp;"%20%3D%20%22removedebuff%22%20and%20ability.id%3D%2245717%22%20AND%20target.name%3D%22Madnap%22%20END%20AND%20NOT%20IN%20RANGE%20FROM%20type%20%3D%20%22applydebuff%22%20AND%20ability.id%20%3D%20%2237122%22%20AND%20target.name%3D%22Madnap%22%20TO%20type%20"&amp;"%3D%20%22removedebuff%22%20and%20ability.id%3D%2237122%22%20AND%20target.name%3D%22Madnap%22%20END%20AND%20NOT%20IN%20RANGE%20FROM%20type%20%3D%20%22applydebuff%22%20AND%20ability.id%20%3D%20%2237135%22%20AND%20target.name%3D%22Madnap%22%20TO%20type%20%3D"&amp;"%20%22removedebuff%22%20and%20ability.id%3D%2237135%22%20AND%20target.name%3D%22Madnap%22%20END%20AND%20NOT%20IN%20RANGE%20FROM%20type%20%3D%20%22applydebuff%22%20AND%20ability.id%20%3D%20%2241345%22%20AND%20target.name%3D%22Madnap%22%20TO%20type%20%3D%20"&amp;"%22removedebuff%22%20and%20ability.id%3D%2241345%22%20AND%20target.name%3D%22Madnap%22%20END%20AND%20NOT%20IN%20RANGE%20FROM%20type%20%3D%20%22applydebuff%22%20AND%20ability.id%20%3D%20%2243361%22%20AND%20target.name%3D%22Madnap%22%20TO%20type%20%3D%20%22"&amp;"removedebuff%22%20and%20ability.id%3D%2243361%22%20AND%20target.name%3D%22Madnap%22%20END%20AND%20encounterid%20%21%3D%20724%20AND%20ability.id%20%21%3D%2046768%20&amp;options=4135&amp;by=target&amp;translate=true&amp;boss=-2&amp;wipes=2&amp;difficulty=0&amp;view=events&amp;target=19",12471)</f>
        <v>12471</v>
      </c>
      <c r="K37" s="135"/>
    </row>
    <row r="38">
      <c r="A38" s="114" t="s">
        <v>118</v>
      </c>
      <c r="B38" s="137">
        <v>1.0</v>
      </c>
      <c r="C38" s="138">
        <v>1.0</v>
      </c>
      <c r="D38" s="141">
        <v>0.0</v>
      </c>
      <c r="E38" s="139">
        <v>1.0</v>
      </c>
      <c r="F38" s="140">
        <v>1.0</v>
      </c>
      <c r="G38" s="140">
        <v>0.0</v>
      </c>
      <c r="H38" s="138">
        <v>4.0</v>
      </c>
      <c r="I38" s="139">
        <v>1.0</v>
      </c>
      <c r="J38" s="138">
        <v>3.0</v>
      </c>
      <c r="K38" s="141">
        <v>3.0</v>
      </c>
    </row>
    <row r="39">
      <c r="A39" s="114" t="s">
        <v>119</v>
      </c>
      <c r="B39" s="142">
        <v>104368.0</v>
      </c>
      <c r="C39" s="143">
        <v>67913.0</v>
      </c>
      <c r="D39" s="33">
        <v>12042.0</v>
      </c>
      <c r="E39" s="144">
        <v>21366.0</v>
      </c>
      <c r="F39" s="145">
        <v>108697.0</v>
      </c>
      <c r="G39" s="145">
        <v>85084.0</v>
      </c>
      <c r="H39" s="143">
        <v>105950.0</v>
      </c>
      <c r="I39" s="144">
        <v>107247.0</v>
      </c>
      <c r="J39" s="143">
        <v>135555.0</v>
      </c>
      <c r="K39" s="33">
        <v>90820.0</v>
      </c>
    </row>
    <row r="40">
      <c r="A40" s="114"/>
      <c r="B40" s="146">
        <f>104368/MAX(B39:K39,1)</f>
        <v>0.7699310243</v>
      </c>
      <c r="C40" s="147">
        <f>67913/MAX(B39:K39,1)</f>
        <v>0.5009995943</v>
      </c>
      <c r="D40" s="149">
        <f>12042/MAX(B39:K39,1)</f>
        <v>0.08883479031</v>
      </c>
      <c r="E40" s="146">
        <f>21366/MAX(B39:K39,1)</f>
        <v>0.1576186788</v>
      </c>
      <c r="F40" s="148">
        <f>108697/MAX(B39:K39,1)</f>
        <v>0.8018664011</v>
      </c>
      <c r="G40" s="148">
        <f>85084/MAX(B39:K39,1)</f>
        <v>0.6276714249</v>
      </c>
      <c r="H40" s="147">
        <f>105950/MAX(B39:K39,1)</f>
        <v>0.7816015639</v>
      </c>
      <c r="I40" s="146">
        <f>107247/MAX(B39:K39,1)</f>
        <v>0.7911696359</v>
      </c>
      <c r="J40" s="147">
        <f>135555/MAX(B39:K39,1)</f>
        <v>1</v>
      </c>
      <c r="K40" s="149">
        <f>90820/MAX(B39:K39,1)</f>
        <v>0.6699863524</v>
      </c>
    </row>
    <row r="41">
      <c r="A41" s="24" t="s">
        <v>120</v>
      </c>
      <c r="B41" s="95"/>
      <c r="C41" s="96"/>
      <c r="D41" s="23"/>
      <c r="E41" s="95"/>
      <c r="F41" s="97"/>
      <c r="G41" s="97"/>
      <c r="H41" s="96"/>
      <c r="I41" s="95"/>
      <c r="J41" s="96"/>
      <c r="K41" s="23"/>
    </row>
    <row r="42">
      <c r="A42" s="114" t="s">
        <v>121</v>
      </c>
      <c r="B42" s="122">
        <v>5.0</v>
      </c>
      <c r="C42" s="121"/>
      <c r="D42" s="119"/>
      <c r="E42" s="117"/>
      <c r="F42" s="124">
        <v>1.0</v>
      </c>
      <c r="G42" s="124">
        <v>1.0</v>
      </c>
      <c r="H42" s="121">
        <v>10.0</v>
      </c>
      <c r="I42" s="117">
        <v>1.0</v>
      </c>
      <c r="J42" s="121"/>
      <c r="K42" s="119">
        <v>10.0</v>
      </c>
    </row>
    <row r="43">
      <c r="A43" s="114" t="s">
        <v>122</v>
      </c>
      <c r="B43" s="122"/>
      <c r="C43" s="121"/>
      <c r="D43" s="119"/>
      <c r="E43" s="117"/>
      <c r="F43" s="124"/>
      <c r="G43" s="124">
        <v>6.0</v>
      </c>
      <c r="H43" s="121"/>
      <c r="I43" s="117"/>
      <c r="J43" s="121">
        <v>1.0</v>
      </c>
      <c r="K43" s="119">
        <v>2.0</v>
      </c>
    </row>
    <row r="44">
      <c r="A44" s="114"/>
      <c r="B44" s="95"/>
      <c r="C44" s="96"/>
      <c r="D44" s="23"/>
      <c r="E44" s="95"/>
      <c r="F44" s="97"/>
      <c r="G44" s="97"/>
      <c r="H44" s="96"/>
      <c r="I44" s="95"/>
      <c r="J44" s="96"/>
      <c r="K44" s="23"/>
    </row>
    <row r="45">
      <c r="A45" s="55"/>
      <c r="B45" s="150"/>
      <c r="C45" s="151"/>
      <c r="D45" s="53"/>
      <c r="E45" s="150"/>
      <c r="F45" s="152"/>
      <c r="G45" s="152"/>
      <c r="H45" s="151"/>
      <c r="I45" s="150"/>
      <c r="J45" s="151"/>
      <c r="K45" s="53"/>
    </row>
  </sheetData>
  <conditionalFormatting sqref="B29:K39">
    <cfRule type="expression" dxfId="0" priority="1" stopIfTrue="1">
      <formula>(B29/AVERAGE($B29:$K29))&gt;1.75</formula>
    </cfRule>
  </conditionalFormatting>
  <conditionalFormatting sqref="B29:K39">
    <cfRule type="expression" dxfId="1" priority="2" stopIfTrue="1">
      <formula>(B29/AVERAGE($B29:$K29))&gt;1.25</formula>
    </cfRule>
  </conditionalFormatting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50.13"/>
    <col customWidth="1" min="3" max="3" width="9.38"/>
    <col customWidth="1" min="4" max="4" width="50.13"/>
    <col customWidth="1" min="5" max="7" width="9.38"/>
    <col customWidth="1" min="8" max="8" width="50.13"/>
    <col customWidth="1" min="9" max="9" width="9.38"/>
    <col customWidth="1" min="10" max="10" width="50.13"/>
    <col customWidth="1" min="11" max="11" width="9.38"/>
    <col customWidth="1" min="12" max="12" width="50.13"/>
    <col customWidth="1" min="13" max="14" width="9.38"/>
    <col customWidth="1" min="15" max="15" width="50.13"/>
    <col customWidth="1" min="16" max="17" width="9.38"/>
  </cols>
  <sheetData>
    <row r="1" ht="19.5" customHeight="1">
      <c r="A1" s="1"/>
      <c r="B1" s="153" t="s">
        <v>123</v>
      </c>
      <c r="C1" s="3" t="s">
        <v>1</v>
      </c>
      <c r="D1" s="154" t="s">
        <v>640</v>
      </c>
      <c r="E1" s="5" t="s">
        <v>4</v>
      </c>
      <c r="F1" s="6" t="s">
        <v>5</v>
      </c>
      <c r="G1" s="271" t="s">
        <v>6</v>
      </c>
      <c r="H1" s="154" t="s">
        <v>407</v>
      </c>
      <c r="I1" s="10" t="s">
        <v>9</v>
      </c>
      <c r="J1" s="154" t="s">
        <v>641</v>
      </c>
      <c r="K1" s="290" t="s">
        <v>14</v>
      </c>
      <c r="L1" s="154" t="s">
        <v>125</v>
      </c>
      <c r="M1" s="16" t="s">
        <v>15</v>
      </c>
      <c r="N1" s="18" t="s">
        <v>17</v>
      </c>
      <c r="O1" s="154" t="s">
        <v>642</v>
      </c>
      <c r="P1" s="21" t="s">
        <v>23</v>
      </c>
      <c r="Q1" s="22" t="s">
        <v>24</v>
      </c>
    </row>
    <row r="2">
      <c r="A2" s="24" t="s">
        <v>127</v>
      </c>
      <c r="B2" s="23"/>
      <c r="C2" s="157"/>
      <c r="D2" s="96"/>
      <c r="E2" s="157"/>
      <c r="F2" s="157"/>
      <c r="G2" s="158"/>
      <c r="H2" s="96"/>
      <c r="I2" s="157"/>
      <c r="J2" s="96"/>
      <c r="K2" s="158"/>
      <c r="L2" s="96"/>
      <c r="M2" s="157"/>
      <c r="N2" s="157"/>
      <c r="O2" s="96"/>
      <c r="P2" s="157"/>
      <c r="Q2" s="157"/>
    </row>
    <row r="3">
      <c r="A3" s="1"/>
      <c r="B3" s="159" t="s">
        <v>128</v>
      </c>
      <c r="C3" s="160">
        <v>0.0</v>
      </c>
      <c r="D3" s="164" t="s">
        <v>643</v>
      </c>
      <c r="E3" s="176">
        <v>0.0</v>
      </c>
      <c r="F3" s="176">
        <v>15.0</v>
      </c>
      <c r="G3" s="165">
        <v>0.0</v>
      </c>
      <c r="H3" s="161" t="s">
        <v>409</v>
      </c>
      <c r="I3" s="162">
        <v>0.0</v>
      </c>
      <c r="J3" s="177" t="s">
        <v>644</v>
      </c>
      <c r="K3" s="178">
        <v>0.0</v>
      </c>
      <c r="L3" s="164" t="s">
        <v>131</v>
      </c>
      <c r="M3" s="176">
        <v>223.0</v>
      </c>
      <c r="N3" s="176">
        <v>118.0</v>
      </c>
      <c r="O3" s="291" t="s">
        <v>645</v>
      </c>
      <c r="P3" s="292" t="s">
        <v>646</v>
      </c>
      <c r="Q3" s="292" t="s">
        <v>647</v>
      </c>
    </row>
    <row r="4">
      <c r="A4" s="1"/>
      <c r="B4" s="159" t="s">
        <v>133</v>
      </c>
      <c r="C4" s="160">
        <v>0.0</v>
      </c>
      <c r="D4" s="164" t="s">
        <v>648</v>
      </c>
      <c r="E4" s="176">
        <v>34.0</v>
      </c>
      <c r="F4" s="176">
        <v>118.0</v>
      </c>
      <c r="G4" s="165">
        <v>95.0</v>
      </c>
      <c r="H4" s="161" t="s">
        <v>411</v>
      </c>
      <c r="I4" s="162">
        <v>0.0</v>
      </c>
      <c r="J4" s="177" t="s">
        <v>649</v>
      </c>
      <c r="K4" s="178">
        <v>0.0</v>
      </c>
      <c r="L4" s="169" t="s">
        <v>135</v>
      </c>
      <c r="M4" s="160">
        <v>48.0</v>
      </c>
      <c r="N4" s="160">
        <v>117.0</v>
      </c>
      <c r="O4" s="291" t="s">
        <v>650</v>
      </c>
      <c r="P4" s="292">
        <v>1.0</v>
      </c>
      <c r="Q4" s="292">
        <v>31.0</v>
      </c>
    </row>
    <row r="5">
      <c r="A5" s="1"/>
      <c r="B5" s="171" t="s">
        <v>137</v>
      </c>
      <c r="C5" s="172">
        <v>0.0</v>
      </c>
      <c r="D5" s="164" t="s">
        <v>651</v>
      </c>
      <c r="E5" s="176">
        <v>1.0</v>
      </c>
      <c r="F5" s="176">
        <v>0.0</v>
      </c>
      <c r="G5" s="165">
        <v>0.0</v>
      </c>
      <c r="H5" s="161" t="s">
        <v>413</v>
      </c>
      <c r="I5" s="162">
        <v>0.0</v>
      </c>
      <c r="J5" s="177" t="s">
        <v>652</v>
      </c>
      <c r="K5" s="178">
        <v>1.0</v>
      </c>
      <c r="L5" s="173" t="s">
        <v>139</v>
      </c>
      <c r="M5" s="181">
        <v>0.0</v>
      </c>
      <c r="N5" s="181">
        <v>0.0</v>
      </c>
      <c r="O5" s="291" t="s">
        <v>653</v>
      </c>
      <c r="P5" s="292">
        <v>224.0</v>
      </c>
      <c r="Q5" s="292">
        <v>0.0</v>
      </c>
    </row>
    <row r="6">
      <c r="A6" s="1"/>
      <c r="B6" s="171" t="s">
        <v>141</v>
      </c>
      <c r="C6" s="172">
        <v>0.0</v>
      </c>
      <c r="D6" s="164" t="s">
        <v>654</v>
      </c>
      <c r="E6" s="176">
        <v>0.0</v>
      </c>
      <c r="F6" s="176">
        <v>0.0</v>
      </c>
      <c r="G6" s="165">
        <v>0.0</v>
      </c>
      <c r="H6" s="161" t="s">
        <v>415</v>
      </c>
      <c r="I6" s="162">
        <v>0.0</v>
      </c>
      <c r="J6" s="177" t="s">
        <v>655</v>
      </c>
      <c r="K6" s="178">
        <v>0.0</v>
      </c>
      <c r="L6" s="164" t="s">
        <v>142</v>
      </c>
      <c r="M6" s="176">
        <v>0.0</v>
      </c>
      <c r="N6" s="176">
        <v>0.0</v>
      </c>
      <c r="O6" s="291" t="s">
        <v>656</v>
      </c>
      <c r="P6" s="292">
        <v>1.0</v>
      </c>
      <c r="Q6" s="292">
        <v>1.0</v>
      </c>
    </row>
    <row r="7">
      <c r="A7" s="1"/>
      <c r="B7" s="175" t="s">
        <v>144</v>
      </c>
      <c r="C7" s="176">
        <v>0.0</v>
      </c>
      <c r="D7" s="164" t="s">
        <v>258</v>
      </c>
      <c r="E7" s="176">
        <v>0.0</v>
      </c>
      <c r="F7" s="176">
        <v>0.0</v>
      </c>
      <c r="G7" s="165">
        <v>0.0</v>
      </c>
      <c r="H7" s="161" t="s">
        <v>417</v>
      </c>
      <c r="I7" s="162">
        <v>0.0</v>
      </c>
      <c r="J7" s="177" t="s">
        <v>657</v>
      </c>
      <c r="K7" s="178">
        <v>0.0</v>
      </c>
      <c r="L7" s="164" t="s">
        <v>147</v>
      </c>
      <c r="M7" s="176">
        <v>16.0</v>
      </c>
      <c r="N7" s="293">
        <v>2.0</v>
      </c>
      <c r="O7" s="291" t="s">
        <v>658</v>
      </c>
      <c r="P7" s="292">
        <v>0.0</v>
      </c>
      <c r="Q7" s="292">
        <v>0.0</v>
      </c>
    </row>
    <row r="8">
      <c r="A8" s="1"/>
      <c r="B8" s="175" t="s">
        <v>149</v>
      </c>
      <c r="C8" s="176">
        <v>0.0</v>
      </c>
      <c r="D8" s="164" t="s">
        <v>659</v>
      </c>
      <c r="E8" s="176">
        <v>240.0</v>
      </c>
      <c r="F8" s="176">
        <v>186.0</v>
      </c>
      <c r="G8" s="165">
        <v>278.0</v>
      </c>
      <c r="H8" s="232" t="s">
        <v>419</v>
      </c>
      <c r="I8" s="43">
        <v>3.0</v>
      </c>
      <c r="J8" s="177" t="s">
        <v>660</v>
      </c>
      <c r="K8" s="178">
        <v>0.0</v>
      </c>
      <c r="L8" s="164" t="s">
        <v>152</v>
      </c>
      <c r="M8" s="176">
        <v>0.0</v>
      </c>
      <c r="N8" s="176">
        <v>0.0</v>
      </c>
      <c r="O8" s="291" t="s">
        <v>661</v>
      </c>
      <c r="P8" s="292">
        <v>0.0</v>
      </c>
      <c r="Q8" s="292">
        <v>0.0</v>
      </c>
    </row>
    <row r="9">
      <c r="A9" s="1"/>
      <c r="B9" s="175" t="s">
        <v>154</v>
      </c>
      <c r="C9" s="176">
        <v>0.0</v>
      </c>
      <c r="D9" s="164" t="s">
        <v>662</v>
      </c>
      <c r="E9" s="176">
        <v>9.0</v>
      </c>
      <c r="F9" s="176">
        <v>12.0</v>
      </c>
      <c r="G9" s="165">
        <v>10.0</v>
      </c>
      <c r="H9" s="232" t="s">
        <v>422</v>
      </c>
      <c r="I9" s="43">
        <v>0.0</v>
      </c>
      <c r="J9" s="164" t="s">
        <v>663</v>
      </c>
      <c r="K9" s="165">
        <v>0.0</v>
      </c>
      <c r="L9" s="177" t="s">
        <v>156</v>
      </c>
      <c r="M9" s="242">
        <v>0.0</v>
      </c>
      <c r="N9" s="242">
        <v>1.0</v>
      </c>
      <c r="O9" s="291" t="s">
        <v>664</v>
      </c>
      <c r="P9" s="292">
        <v>0.0</v>
      </c>
      <c r="Q9" s="292">
        <v>2.0</v>
      </c>
    </row>
    <row r="10">
      <c r="A10" s="1"/>
      <c r="B10" s="175" t="s">
        <v>159</v>
      </c>
      <c r="C10" s="176">
        <v>0.0</v>
      </c>
      <c r="D10" s="164" t="s">
        <v>665</v>
      </c>
      <c r="E10" s="176">
        <v>0.0</v>
      </c>
      <c r="F10" s="176">
        <v>0.0</v>
      </c>
      <c r="G10" s="165">
        <v>0.0</v>
      </c>
      <c r="H10" s="232" t="s">
        <v>424</v>
      </c>
      <c r="I10" s="43">
        <v>1.0</v>
      </c>
      <c r="J10" s="177" t="s">
        <v>666</v>
      </c>
      <c r="K10" s="178">
        <v>38.0</v>
      </c>
      <c r="L10" s="179" t="s">
        <v>161</v>
      </c>
      <c r="M10" s="243">
        <v>0.0</v>
      </c>
      <c r="N10" s="243">
        <v>0.0</v>
      </c>
      <c r="O10" s="291" t="s">
        <v>667</v>
      </c>
      <c r="P10" s="292">
        <v>0.0</v>
      </c>
      <c r="Q10" s="292" t="s">
        <v>668</v>
      </c>
    </row>
    <row r="11">
      <c r="A11" s="1"/>
      <c r="B11" s="175" t="s">
        <v>164</v>
      </c>
      <c r="C11" s="176">
        <v>0.0</v>
      </c>
      <c r="D11" s="164" t="s">
        <v>669</v>
      </c>
      <c r="E11" s="176">
        <v>0.0</v>
      </c>
      <c r="F11" s="176">
        <v>0.0</v>
      </c>
      <c r="G11" s="165">
        <v>0.0</v>
      </c>
      <c r="H11" s="232" t="s">
        <v>426</v>
      </c>
      <c r="I11" s="43">
        <v>3.0</v>
      </c>
      <c r="J11" s="177" t="s">
        <v>670</v>
      </c>
      <c r="K11" s="178" t="s">
        <v>671</v>
      </c>
      <c r="L11" s="169" t="s">
        <v>168</v>
      </c>
      <c r="M11" s="160">
        <v>4.0</v>
      </c>
      <c r="N11" s="160">
        <v>3.0</v>
      </c>
      <c r="O11" s="291" t="s">
        <v>672</v>
      </c>
      <c r="P11" s="292">
        <v>0.0</v>
      </c>
      <c r="Q11" s="292">
        <v>0.0</v>
      </c>
    </row>
    <row r="12">
      <c r="A12" s="1"/>
      <c r="B12" s="182" t="s">
        <v>170</v>
      </c>
      <c r="C12" s="183">
        <v>0.0</v>
      </c>
      <c r="D12" s="164" t="s">
        <v>673</v>
      </c>
      <c r="E12" s="176">
        <v>0.0</v>
      </c>
      <c r="F12" s="176" t="s">
        <v>674</v>
      </c>
      <c r="G12" s="165">
        <v>0.0</v>
      </c>
      <c r="H12" s="232" t="s">
        <v>428</v>
      </c>
      <c r="I12" s="43">
        <v>0.0</v>
      </c>
      <c r="J12" s="177" t="s">
        <v>675</v>
      </c>
      <c r="K12" s="178">
        <v>0.0</v>
      </c>
      <c r="L12" s="169" t="s">
        <v>172</v>
      </c>
      <c r="M12" s="160">
        <v>0.0</v>
      </c>
      <c r="N12" s="160">
        <v>0.0</v>
      </c>
      <c r="O12" s="291" t="s">
        <v>676</v>
      </c>
      <c r="P12" s="292">
        <v>0.0</v>
      </c>
      <c r="Q12" s="292">
        <v>0.0</v>
      </c>
    </row>
    <row r="13">
      <c r="A13" s="1"/>
      <c r="B13" s="175" t="s">
        <v>174</v>
      </c>
      <c r="C13" s="176">
        <v>0.0</v>
      </c>
      <c r="D13" s="164" t="s">
        <v>677</v>
      </c>
      <c r="E13" s="176">
        <v>12.0</v>
      </c>
      <c r="F13" s="176">
        <v>89.0</v>
      </c>
      <c r="G13" s="165">
        <v>13.0</v>
      </c>
      <c r="H13" s="232" t="s">
        <v>430</v>
      </c>
      <c r="I13" s="43">
        <v>4.0</v>
      </c>
      <c r="J13" s="177" t="s">
        <v>678</v>
      </c>
      <c r="K13" s="178">
        <v>6.0</v>
      </c>
      <c r="L13" s="169" t="s">
        <v>176</v>
      </c>
      <c r="M13" s="160">
        <v>36.0</v>
      </c>
      <c r="N13" s="160">
        <v>11.0</v>
      </c>
      <c r="O13" s="291" t="s">
        <v>679</v>
      </c>
      <c r="P13" s="292">
        <v>106.0</v>
      </c>
      <c r="Q13" s="292">
        <v>85.0</v>
      </c>
    </row>
    <row r="14">
      <c r="A14" s="1"/>
      <c r="B14" s="175" t="s">
        <v>178</v>
      </c>
      <c r="C14" s="176">
        <v>0.0</v>
      </c>
      <c r="D14" s="164" t="s">
        <v>680</v>
      </c>
      <c r="E14" s="176">
        <v>0.0</v>
      </c>
      <c r="F14" s="176">
        <v>0.0</v>
      </c>
      <c r="G14" s="165">
        <v>0.0</v>
      </c>
      <c r="H14" s="232" t="s">
        <v>432</v>
      </c>
      <c r="I14" s="43">
        <v>0.0</v>
      </c>
      <c r="J14" s="177" t="s">
        <v>681</v>
      </c>
      <c r="K14" s="178">
        <v>0.0</v>
      </c>
      <c r="L14" s="166" t="s">
        <v>180</v>
      </c>
      <c r="M14" s="167">
        <v>0.0</v>
      </c>
      <c r="N14" s="167">
        <v>0.0</v>
      </c>
      <c r="O14" s="291" t="s">
        <v>682</v>
      </c>
      <c r="P14" s="292" t="s">
        <v>683</v>
      </c>
      <c r="Q14" s="292" t="s">
        <v>684</v>
      </c>
    </row>
    <row r="15">
      <c r="A15" s="1"/>
      <c r="B15" s="185" t="s">
        <v>182</v>
      </c>
      <c r="C15" s="167">
        <v>0.0</v>
      </c>
      <c r="D15" s="164" t="s">
        <v>685</v>
      </c>
      <c r="E15" s="176">
        <v>762.0</v>
      </c>
      <c r="F15" s="176">
        <v>573.0</v>
      </c>
      <c r="G15" s="165">
        <v>914.0</v>
      </c>
      <c r="H15" s="232" t="s">
        <v>434</v>
      </c>
      <c r="I15" s="43">
        <v>0.0</v>
      </c>
      <c r="J15" s="177" t="s">
        <v>686</v>
      </c>
      <c r="K15" s="178">
        <v>0.0</v>
      </c>
      <c r="L15" s="164" t="s">
        <v>178</v>
      </c>
      <c r="M15" s="176">
        <v>0.0</v>
      </c>
      <c r="N15" s="176">
        <v>0.0</v>
      </c>
      <c r="O15" s="291" t="s">
        <v>687</v>
      </c>
      <c r="P15" s="292">
        <v>478.0</v>
      </c>
      <c r="Q15" s="292">
        <v>29.0</v>
      </c>
    </row>
    <row r="16">
      <c r="A16" s="1"/>
      <c r="B16" s="182" t="s">
        <v>185</v>
      </c>
      <c r="C16" s="183">
        <v>0.0</v>
      </c>
      <c r="D16" s="164" t="s">
        <v>688</v>
      </c>
      <c r="E16" s="176">
        <v>0.0</v>
      </c>
      <c r="F16" s="176">
        <v>0.0</v>
      </c>
      <c r="G16" s="165">
        <v>0.0</v>
      </c>
      <c r="H16" s="232" t="s">
        <v>435</v>
      </c>
      <c r="I16" s="43">
        <v>0.0</v>
      </c>
      <c r="J16" s="177" t="s">
        <v>689</v>
      </c>
      <c r="K16" s="178">
        <v>5.0</v>
      </c>
      <c r="L16" s="166" t="s">
        <v>186</v>
      </c>
      <c r="M16" s="167">
        <v>0.0</v>
      </c>
      <c r="N16" s="167">
        <v>0.0</v>
      </c>
      <c r="O16" s="291" t="s">
        <v>690</v>
      </c>
      <c r="P16" s="292">
        <v>20.0</v>
      </c>
      <c r="Q16" s="292">
        <v>23.0</v>
      </c>
    </row>
    <row r="17">
      <c r="A17" s="1"/>
      <c r="B17" s="188" t="s">
        <v>188</v>
      </c>
      <c r="C17" s="189">
        <v>0.0</v>
      </c>
      <c r="D17" s="164" t="s">
        <v>691</v>
      </c>
      <c r="E17" s="176">
        <v>0.0</v>
      </c>
      <c r="F17" s="176">
        <v>0.0</v>
      </c>
      <c r="G17" s="165">
        <v>0.0</v>
      </c>
      <c r="H17" s="232" t="s">
        <v>437</v>
      </c>
      <c r="I17" s="43">
        <v>0.0</v>
      </c>
      <c r="J17" s="177" t="s">
        <v>692</v>
      </c>
      <c r="K17" s="178">
        <v>1.0</v>
      </c>
      <c r="L17" s="164" t="s">
        <v>190</v>
      </c>
      <c r="M17" s="176">
        <v>0.0</v>
      </c>
      <c r="N17" s="176">
        <v>0.0</v>
      </c>
      <c r="O17" s="291" t="s">
        <v>693</v>
      </c>
      <c r="P17" s="292">
        <v>2.0</v>
      </c>
      <c r="Q17" s="292">
        <v>1.0</v>
      </c>
    </row>
    <row r="18">
      <c r="A18" s="1"/>
      <c r="B18" s="188" t="s">
        <v>192</v>
      </c>
      <c r="C18" s="189">
        <v>0.0</v>
      </c>
      <c r="D18" s="164" t="s">
        <v>694</v>
      </c>
      <c r="E18" s="293">
        <v>1.0</v>
      </c>
      <c r="F18" s="176">
        <v>0.0</v>
      </c>
      <c r="G18" s="165">
        <v>0.0</v>
      </c>
      <c r="H18" s="232" t="s">
        <v>439</v>
      </c>
      <c r="I18" s="43">
        <v>0.0</v>
      </c>
      <c r="J18" s="177" t="s">
        <v>695</v>
      </c>
      <c r="K18" s="178">
        <v>0.0</v>
      </c>
      <c r="L18" s="169" t="s">
        <v>194</v>
      </c>
      <c r="M18" s="160">
        <v>0.0</v>
      </c>
      <c r="N18" s="160">
        <v>0.0</v>
      </c>
      <c r="O18" s="291" t="s">
        <v>696</v>
      </c>
      <c r="P18" s="292">
        <v>0.0</v>
      </c>
      <c r="Q18" s="292">
        <v>1.0</v>
      </c>
    </row>
    <row r="19">
      <c r="A19" s="1"/>
      <c r="B19" s="188" t="s">
        <v>196</v>
      </c>
      <c r="C19" s="189">
        <v>0.0</v>
      </c>
      <c r="D19" s="164" t="s">
        <v>697</v>
      </c>
      <c r="E19" s="176">
        <v>0.0</v>
      </c>
      <c r="F19" s="176">
        <v>0.0</v>
      </c>
      <c r="G19" s="165">
        <v>0.0</v>
      </c>
      <c r="H19" s="232" t="s">
        <v>440</v>
      </c>
      <c r="I19" s="43">
        <v>0.0</v>
      </c>
      <c r="J19" s="177" t="s">
        <v>698</v>
      </c>
      <c r="K19" s="178">
        <v>21.0</v>
      </c>
      <c r="L19" s="173" t="s">
        <v>198</v>
      </c>
      <c r="M19" s="181">
        <v>0.0</v>
      </c>
      <c r="N19" s="181">
        <v>0.0</v>
      </c>
      <c r="O19" s="291" t="s">
        <v>699</v>
      </c>
      <c r="P19" s="292">
        <v>0.0</v>
      </c>
      <c r="Q19" s="292">
        <v>0.0</v>
      </c>
    </row>
    <row r="20">
      <c r="A20" s="1"/>
      <c r="B20" s="188" t="s">
        <v>200</v>
      </c>
      <c r="C20" s="189">
        <v>5.0</v>
      </c>
      <c r="D20" s="161" t="s">
        <v>700</v>
      </c>
      <c r="E20" s="162">
        <v>0.0</v>
      </c>
      <c r="F20" s="162">
        <v>0.0</v>
      </c>
      <c r="G20" s="163">
        <v>0.0</v>
      </c>
      <c r="H20" s="169" t="s">
        <v>442</v>
      </c>
      <c r="I20" s="160">
        <v>0.0</v>
      </c>
      <c r="J20" s="166" t="s">
        <v>701</v>
      </c>
      <c r="K20" s="168">
        <v>0.0</v>
      </c>
      <c r="L20" s="164" t="s">
        <v>202</v>
      </c>
      <c r="M20" s="176">
        <v>0.0</v>
      </c>
      <c r="N20" s="176">
        <v>0.0</v>
      </c>
      <c r="O20" s="291" t="s">
        <v>702</v>
      </c>
      <c r="P20" s="292">
        <v>0.0</v>
      </c>
      <c r="Q20" s="292">
        <v>218.0</v>
      </c>
    </row>
    <row r="21">
      <c r="A21" s="1"/>
      <c r="B21" s="188" t="s">
        <v>204</v>
      </c>
      <c r="C21" s="189" t="s">
        <v>703</v>
      </c>
      <c r="D21" s="161" t="s">
        <v>704</v>
      </c>
      <c r="E21" s="162">
        <v>0.0</v>
      </c>
      <c r="F21" s="162">
        <v>0.0</v>
      </c>
      <c r="G21" s="163">
        <v>0.0</v>
      </c>
      <c r="H21" s="173" t="s">
        <v>445</v>
      </c>
      <c r="I21" s="181">
        <v>0.0</v>
      </c>
      <c r="J21" s="177" t="s">
        <v>705</v>
      </c>
      <c r="K21" s="178">
        <v>101.0</v>
      </c>
      <c r="L21" s="161" t="s">
        <v>206</v>
      </c>
      <c r="M21" s="162">
        <v>95.0</v>
      </c>
      <c r="N21" s="162">
        <v>98.0</v>
      </c>
      <c r="O21" s="291" t="s">
        <v>706</v>
      </c>
      <c r="P21" s="292">
        <v>0.0</v>
      </c>
      <c r="Q21" s="292">
        <v>20.0</v>
      </c>
    </row>
    <row r="22">
      <c r="A22" s="1"/>
      <c r="B22" s="188" t="s">
        <v>208</v>
      </c>
      <c r="C22" s="189">
        <v>0.0</v>
      </c>
      <c r="D22" s="161" t="s">
        <v>707</v>
      </c>
      <c r="E22" s="162">
        <v>2.0</v>
      </c>
      <c r="F22" s="162">
        <v>0.0</v>
      </c>
      <c r="G22" s="163">
        <v>2.0</v>
      </c>
      <c r="H22" s="166" t="s">
        <v>447</v>
      </c>
      <c r="I22" s="167">
        <v>0.0</v>
      </c>
      <c r="J22" s="177" t="s">
        <v>708</v>
      </c>
      <c r="K22" s="178">
        <v>619.0</v>
      </c>
      <c r="L22" s="161" t="s">
        <v>210</v>
      </c>
      <c r="M22" s="162">
        <v>5.0</v>
      </c>
      <c r="N22" s="162">
        <v>0.0</v>
      </c>
      <c r="O22" s="291" t="s">
        <v>709</v>
      </c>
      <c r="P22" s="292">
        <v>4.0</v>
      </c>
      <c r="Q22" s="292">
        <v>0.0</v>
      </c>
    </row>
    <row r="23">
      <c r="A23" s="1"/>
      <c r="B23" s="188" t="s">
        <v>212</v>
      </c>
      <c r="C23" s="189">
        <v>0.0</v>
      </c>
      <c r="D23" s="161" t="s">
        <v>710</v>
      </c>
      <c r="E23" s="162">
        <v>0.0</v>
      </c>
      <c r="F23" s="162">
        <v>0.0</v>
      </c>
      <c r="G23" s="163">
        <v>0.0</v>
      </c>
      <c r="H23" s="195" t="s">
        <v>449</v>
      </c>
      <c r="I23" s="264">
        <v>0.0</v>
      </c>
      <c r="J23" s="177" t="s">
        <v>711</v>
      </c>
      <c r="K23" s="178" t="s">
        <v>712</v>
      </c>
      <c r="L23" s="161" t="s">
        <v>214</v>
      </c>
      <c r="M23" s="162">
        <v>0.0</v>
      </c>
      <c r="N23" s="162">
        <v>0.0</v>
      </c>
      <c r="O23" s="291" t="s">
        <v>713</v>
      </c>
      <c r="P23" s="292">
        <v>0.0</v>
      </c>
      <c r="Q23" s="292">
        <v>0.0</v>
      </c>
    </row>
    <row r="24">
      <c r="A24" s="1"/>
      <c r="B24" s="188" t="s">
        <v>216</v>
      </c>
      <c r="C24" s="189" t="s">
        <v>714</v>
      </c>
      <c r="D24" s="161" t="s">
        <v>715</v>
      </c>
      <c r="E24" s="162">
        <v>0.0</v>
      </c>
      <c r="F24" s="162">
        <v>0.0</v>
      </c>
      <c r="G24" s="163">
        <v>0.0</v>
      </c>
      <c r="H24" s="195" t="s">
        <v>452</v>
      </c>
      <c r="I24" s="264">
        <v>193.0</v>
      </c>
      <c r="J24" s="191" t="s">
        <v>232</v>
      </c>
      <c r="K24" s="117">
        <v>3120.0</v>
      </c>
      <c r="L24" s="161" t="s">
        <v>218</v>
      </c>
      <c r="M24" s="162">
        <v>0.0</v>
      </c>
      <c r="N24" s="162">
        <v>0.0</v>
      </c>
      <c r="O24" s="291" t="s">
        <v>716</v>
      </c>
      <c r="P24" s="292">
        <v>0.0</v>
      </c>
      <c r="Q24" s="292">
        <v>0.0</v>
      </c>
    </row>
    <row r="25">
      <c r="A25" s="1"/>
      <c r="B25" s="188" t="s">
        <v>220</v>
      </c>
      <c r="C25" s="189">
        <v>0.0</v>
      </c>
      <c r="D25" s="161" t="s">
        <v>717</v>
      </c>
      <c r="E25" s="162">
        <v>4.0</v>
      </c>
      <c r="F25" s="162">
        <v>0.0</v>
      </c>
      <c r="G25" s="163">
        <v>4.0</v>
      </c>
      <c r="H25" s="195" t="s">
        <v>454</v>
      </c>
      <c r="I25" s="264">
        <v>0.0</v>
      </c>
      <c r="J25" s="96"/>
      <c r="K25" s="95"/>
      <c r="L25" s="161" t="s">
        <v>222</v>
      </c>
      <c r="M25" s="162">
        <v>0.0</v>
      </c>
      <c r="N25" s="162">
        <v>0.0</v>
      </c>
      <c r="O25" s="291" t="s">
        <v>718</v>
      </c>
      <c r="P25" s="292">
        <v>0.0</v>
      </c>
      <c r="Q25" s="292">
        <v>0.0</v>
      </c>
    </row>
    <row r="26">
      <c r="A26" s="1"/>
      <c r="B26" s="188" t="s">
        <v>224</v>
      </c>
      <c r="C26" s="189">
        <v>0.0</v>
      </c>
      <c r="D26" s="161" t="s">
        <v>719</v>
      </c>
      <c r="E26" s="162">
        <v>0.0</v>
      </c>
      <c r="F26" s="162">
        <v>0.0</v>
      </c>
      <c r="G26" s="163">
        <v>0.0</v>
      </c>
      <c r="H26" s="195" t="s">
        <v>456</v>
      </c>
      <c r="I26" s="264">
        <v>0.0</v>
      </c>
      <c r="J26" s="96"/>
      <c r="K26" s="95"/>
      <c r="L26" s="161" t="s">
        <v>226</v>
      </c>
      <c r="M26" s="162">
        <v>111.0</v>
      </c>
      <c r="N26" s="162">
        <v>112.0</v>
      </c>
      <c r="O26" s="291" t="s">
        <v>720</v>
      </c>
      <c r="P26" s="292">
        <v>0.0</v>
      </c>
      <c r="Q26" s="292">
        <v>0.0</v>
      </c>
    </row>
    <row r="27">
      <c r="A27" s="1"/>
      <c r="B27" s="188" t="s">
        <v>228</v>
      </c>
      <c r="C27" s="189">
        <v>0.0</v>
      </c>
      <c r="D27" s="161" t="s">
        <v>721</v>
      </c>
      <c r="E27" s="162">
        <v>0.0</v>
      </c>
      <c r="F27" s="162">
        <v>0.0</v>
      </c>
      <c r="G27" s="163">
        <v>0.0</v>
      </c>
      <c r="H27" s="195" t="s">
        <v>459</v>
      </c>
      <c r="I27" s="264">
        <v>7.0</v>
      </c>
      <c r="J27" s="96"/>
      <c r="K27" s="95"/>
      <c r="L27" s="161" t="s">
        <v>230</v>
      </c>
      <c r="M27" s="162">
        <v>0.0</v>
      </c>
      <c r="N27" s="162">
        <v>0.0</v>
      </c>
      <c r="O27" s="291" t="s">
        <v>722</v>
      </c>
      <c r="P27" s="292">
        <v>0.0</v>
      </c>
      <c r="Q27" s="292">
        <v>0.0</v>
      </c>
    </row>
    <row r="28">
      <c r="A28" s="1"/>
      <c r="B28" s="194" t="s">
        <v>232</v>
      </c>
      <c r="C28" s="119">
        <v>1202.0</v>
      </c>
      <c r="D28" s="161" t="s">
        <v>723</v>
      </c>
      <c r="E28" s="162">
        <v>0.0</v>
      </c>
      <c r="F28" s="162">
        <v>0.0</v>
      </c>
      <c r="G28" s="163">
        <v>0.0</v>
      </c>
      <c r="H28" s="195" t="s">
        <v>461</v>
      </c>
      <c r="I28" s="264">
        <v>0.0</v>
      </c>
      <c r="J28" s="96"/>
      <c r="K28" s="95"/>
      <c r="L28" s="161" t="s">
        <v>233</v>
      </c>
      <c r="M28" s="162">
        <v>0.0</v>
      </c>
      <c r="N28" s="162">
        <v>0.0</v>
      </c>
      <c r="O28" s="291" t="s">
        <v>724</v>
      </c>
      <c r="P28" s="292">
        <v>0.0</v>
      </c>
      <c r="Q28" s="292">
        <v>0.0</v>
      </c>
    </row>
    <row r="29">
      <c r="A29" s="1"/>
      <c r="B29" s="194" t="s">
        <v>235</v>
      </c>
      <c r="C29" s="119">
        <v>0.0</v>
      </c>
      <c r="D29" s="161" t="s">
        <v>725</v>
      </c>
      <c r="E29" s="162">
        <v>0.0</v>
      </c>
      <c r="F29" s="162">
        <v>0.0</v>
      </c>
      <c r="G29" s="163">
        <v>0.0</v>
      </c>
      <c r="H29" s="195" t="s">
        <v>463</v>
      </c>
      <c r="I29" s="264">
        <v>0.0</v>
      </c>
      <c r="J29" s="96"/>
      <c r="K29" s="95"/>
      <c r="L29" s="161" t="s">
        <v>236</v>
      </c>
      <c r="M29" s="162">
        <v>0.0</v>
      </c>
      <c r="N29" s="162">
        <v>0.0</v>
      </c>
      <c r="O29" s="291" t="s">
        <v>726</v>
      </c>
      <c r="P29" s="292">
        <v>0.0</v>
      </c>
      <c r="Q29" s="292">
        <v>133.0</v>
      </c>
    </row>
    <row r="30">
      <c r="A30" s="1"/>
      <c r="B30" s="194" t="s">
        <v>238</v>
      </c>
      <c r="C30" s="119">
        <v>192.0</v>
      </c>
      <c r="D30" s="161" t="s">
        <v>727</v>
      </c>
      <c r="E30" s="162">
        <v>0.0</v>
      </c>
      <c r="F30" s="162">
        <v>0.0</v>
      </c>
      <c r="G30" s="163">
        <v>0.0</v>
      </c>
      <c r="H30" s="195" t="s">
        <v>465</v>
      </c>
      <c r="I30" s="264" t="s">
        <v>728</v>
      </c>
      <c r="J30" s="96"/>
      <c r="K30" s="95"/>
      <c r="L30" s="195" t="s">
        <v>239</v>
      </c>
      <c r="M30" s="264">
        <v>0.0</v>
      </c>
      <c r="N30" s="264">
        <v>0.0</v>
      </c>
      <c r="O30" s="291" t="s">
        <v>729</v>
      </c>
      <c r="P30" s="292">
        <v>0.0</v>
      </c>
      <c r="Q30" s="292">
        <v>0.0</v>
      </c>
    </row>
    <row r="31">
      <c r="A31" s="1"/>
      <c r="B31" s="194" t="s">
        <v>241</v>
      </c>
      <c r="C31" s="119">
        <v>12.0</v>
      </c>
      <c r="D31" s="161" t="s">
        <v>730</v>
      </c>
      <c r="E31" s="162">
        <v>0.0</v>
      </c>
      <c r="F31" s="162">
        <v>0.0</v>
      </c>
      <c r="G31" s="163">
        <v>0.0</v>
      </c>
      <c r="H31" s="195" t="s">
        <v>468</v>
      </c>
      <c r="I31" s="264">
        <v>0.0</v>
      </c>
      <c r="J31" s="96"/>
      <c r="K31" s="95"/>
      <c r="L31" s="195" t="s">
        <v>242</v>
      </c>
      <c r="M31" s="264">
        <v>0.0</v>
      </c>
      <c r="N31" s="264">
        <v>0.0</v>
      </c>
      <c r="O31" s="291" t="s">
        <v>731</v>
      </c>
      <c r="P31" s="292" t="s">
        <v>732</v>
      </c>
      <c r="Q31" s="292">
        <v>0.0</v>
      </c>
    </row>
    <row r="32">
      <c r="A32" s="1"/>
      <c r="B32" s="194" t="s">
        <v>243</v>
      </c>
      <c r="C32" s="119">
        <v>0.0</v>
      </c>
      <c r="D32" s="161" t="s">
        <v>733</v>
      </c>
      <c r="E32" s="162">
        <v>0.0</v>
      </c>
      <c r="F32" s="162" t="s">
        <v>734</v>
      </c>
      <c r="G32" s="163">
        <v>0.0</v>
      </c>
      <c r="H32" s="195" t="s">
        <v>470</v>
      </c>
      <c r="I32" s="264">
        <v>0.0</v>
      </c>
      <c r="J32" s="96"/>
      <c r="K32" s="95"/>
      <c r="L32" s="195" t="s">
        <v>244</v>
      </c>
      <c r="M32" s="264">
        <v>35.0</v>
      </c>
      <c r="N32" s="264">
        <v>25.0</v>
      </c>
      <c r="O32" s="291" t="s">
        <v>735</v>
      </c>
      <c r="P32" s="292" t="s">
        <v>736</v>
      </c>
      <c r="Q32" s="292">
        <v>0.0</v>
      </c>
    </row>
    <row r="33">
      <c r="A33" s="1"/>
      <c r="B33" s="194" t="s">
        <v>245</v>
      </c>
      <c r="C33" s="119">
        <v>0.0</v>
      </c>
      <c r="D33" s="161" t="s">
        <v>737</v>
      </c>
      <c r="E33" s="162">
        <v>1.0</v>
      </c>
      <c r="F33" s="162">
        <v>6.0</v>
      </c>
      <c r="G33" s="163">
        <v>3.0</v>
      </c>
      <c r="H33" s="195" t="s">
        <v>472</v>
      </c>
      <c r="I33" s="264">
        <v>250.0</v>
      </c>
      <c r="J33" s="96"/>
      <c r="K33" s="95"/>
      <c r="L33" s="195" t="s">
        <v>246</v>
      </c>
      <c r="M33" s="264">
        <v>6.0</v>
      </c>
      <c r="N33" s="264">
        <v>8.0</v>
      </c>
      <c r="O33" s="291" t="s">
        <v>738</v>
      </c>
      <c r="P33" s="292">
        <v>14.0</v>
      </c>
      <c r="Q33" s="292">
        <v>21.0</v>
      </c>
    </row>
    <row r="34">
      <c r="A34" s="1"/>
      <c r="B34" s="194" t="s">
        <v>247</v>
      </c>
      <c r="C34" s="119">
        <v>1.0</v>
      </c>
      <c r="D34" s="161" t="s">
        <v>739</v>
      </c>
      <c r="E34" s="162">
        <v>2.0</v>
      </c>
      <c r="F34" s="162">
        <v>1.0</v>
      </c>
      <c r="G34" s="163">
        <v>1.0</v>
      </c>
      <c r="H34" s="265" t="s">
        <v>476</v>
      </c>
      <c r="I34" s="266" t="s">
        <v>740</v>
      </c>
      <c r="J34" s="96"/>
      <c r="K34" s="95"/>
      <c r="L34" s="169" t="s">
        <v>248</v>
      </c>
      <c r="M34" s="160">
        <v>0.0</v>
      </c>
      <c r="N34" s="160">
        <v>0.0</v>
      </c>
      <c r="O34" s="291" t="s">
        <v>741</v>
      </c>
      <c r="P34" s="292">
        <v>0.0</v>
      </c>
      <c r="Q34" s="292">
        <v>0.0</v>
      </c>
    </row>
    <row r="35">
      <c r="A35" s="1"/>
      <c r="B35" s="194" t="s">
        <v>249</v>
      </c>
      <c r="C35" s="119">
        <v>0.0</v>
      </c>
      <c r="D35" s="161" t="s">
        <v>742</v>
      </c>
      <c r="E35" s="162">
        <v>0.0</v>
      </c>
      <c r="F35" s="162">
        <v>0.0</v>
      </c>
      <c r="G35" s="163">
        <v>0.0</v>
      </c>
      <c r="H35" s="195" t="s">
        <v>478</v>
      </c>
      <c r="I35" s="264">
        <v>0.0</v>
      </c>
      <c r="J35" s="96"/>
      <c r="K35" s="95"/>
      <c r="L35" s="173" t="s">
        <v>250</v>
      </c>
      <c r="M35" s="181">
        <v>0.0</v>
      </c>
      <c r="N35" s="181">
        <v>0.0</v>
      </c>
      <c r="O35" s="291" t="s">
        <v>743</v>
      </c>
      <c r="P35" s="292">
        <v>0.0</v>
      </c>
      <c r="Q35" s="292">
        <v>0.0</v>
      </c>
    </row>
    <row r="36">
      <c r="A36" s="1"/>
      <c r="B36" s="194" t="s">
        <v>251</v>
      </c>
      <c r="C36" s="119">
        <v>1.0</v>
      </c>
      <c r="D36" s="294" t="s">
        <v>744</v>
      </c>
      <c r="E36" s="295" t="s">
        <v>745</v>
      </c>
      <c r="F36" s="295" t="s">
        <v>746</v>
      </c>
      <c r="G36" s="296" t="s">
        <v>747</v>
      </c>
      <c r="H36" s="195" t="s">
        <v>481</v>
      </c>
      <c r="I36" s="264">
        <v>0.0</v>
      </c>
      <c r="J36" s="96"/>
      <c r="K36" s="95"/>
      <c r="L36" s="179" t="s">
        <v>252</v>
      </c>
      <c r="M36" s="243">
        <v>0.0</v>
      </c>
      <c r="N36" s="243">
        <v>0.0</v>
      </c>
      <c r="O36" s="291" t="s">
        <v>748</v>
      </c>
      <c r="P36" s="292">
        <v>6.0</v>
      </c>
      <c r="Q36" s="292">
        <v>8.0</v>
      </c>
    </row>
    <row r="37">
      <c r="A37" s="1"/>
      <c r="B37" s="194" t="s">
        <v>253</v>
      </c>
      <c r="C37" s="119">
        <v>0.0</v>
      </c>
      <c r="D37" s="191" t="s">
        <v>749</v>
      </c>
      <c r="E37" s="119">
        <v>3.0</v>
      </c>
      <c r="F37" s="119">
        <v>1.0</v>
      </c>
      <c r="G37" s="117">
        <v>8.0</v>
      </c>
      <c r="H37" s="195" t="s">
        <v>483</v>
      </c>
      <c r="I37" s="264">
        <v>0.0</v>
      </c>
      <c r="J37" s="96"/>
      <c r="K37" s="95"/>
      <c r="L37" s="161" t="s">
        <v>254</v>
      </c>
      <c r="M37" s="162">
        <v>0.0</v>
      </c>
      <c r="N37" s="162">
        <v>2.0</v>
      </c>
      <c r="O37" s="191" t="s">
        <v>750</v>
      </c>
      <c r="P37" s="119" t="s">
        <v>751</v>
      </c>
      <c r="Q37" s="119" t="s">
        <v>752</v>
      </c>
    </row>
    <row r="38">
      <c r="A38" s="1"/>
      <c r="B38" s="194" t="s">
        <v>255</v>
      </c>
      <c r="C38" s="119">
        <v>0.0</v>
      </c>
      <c r="D38" s="96"/>
      <c r="E38" s="23"/>
      <c r="F38" s="23"/>
      <c r="G38" s="95"/>
      <c r="H38" s="195" t="s">
        <v>485</v>
      </c>
      <c r="I38" s="264">
        <v>0.0</v>
      </c>
      <c r="J38" s="96"/>
      <c r="K38" s="95"/>
      <c r="L38" s="191" t="s">
        <v>256</v>
      </c>
      <c r="M38" s="119">
        <v>160.0</v>
      </c>
      <c r="N38" s="119">
        <v>151.0</v>
      </c>
      <c r="O38" s="96"/>
      <c r="P38" s="23"/>
      <c r="Q38" s="23"/>
    </row>
    <row r="39">
      <c r="A39" s="1"/>
      <c r="B39" s="194" t="s">
        <v>257</v>
      </c>
      <c r="C39" s="119">
        <v>36.0</v>
      </c>
      <c r="D39" s="96"/>
      <c r="E39" s="23"/>
      <c r="F39" s="23"/>
      <c r="G39" s="95"/>
      <c r="H39" s="195" t="s">
        <v>487</v>
      </c>
      <c r="I39" s="264">
        <v>20.0</v>
      </c>
      <c r="J39" s="96"/>
      <c r="K39" s="95"/>
      <c r="L39" s="191" t="s">
        <v>232</v>
      </c>
      <c r="M39" s="119">
        <v>1537.0</v>
      </c>
      <c r="N39" s="119">
        <v>1715.0</v>
      </c>
      <c r="O39" s="96"/>
      <c r="P39" s="23"/>
      <c r="Q39" s="23"/>
    </row>
    <row r="40">
      <c r="A40" s="1"/>
      <c r="B40" s="194" t="s">
        <v>258</v>
      </c>
      <c r="C40" s="119">
        <v>1.0</v>
      </c>
      <c r="D40" s="96"/>
      <c r="E40" s="23"/>
      <c r="F40" s="23"/>
      <c r="G40" s="95"/>
      <c r="H40" s="195" t="s">
        <v>489</v>
      </c>
      <c r="I40" s="264">
        <v>0.0</v>
      </c>
      <c r="J40" s="96"/>
      <c r="K40" s="95"/>
      <c r="L40" s="164" t="s">
        <v>259</v>
      </c>
      <c r="M40" s="176">
        <v>0.0</v>
      </c>
      <c r="N40" s="176">
        <v>0.0</v>
      </c>
      <c r="O40" s="96"/>
      <c r="P40" s="23"/>
      <c r="Q40" s="23"/>
    </row>
    <row r="41">
      <c r="A41" s="1"/>
      <c r="B41" s="194" t="s">
        <v>260</v>
      </c>
      <c r="C41" s="119">
        <v>42.0</v>
      </c>
      <c r="D41" s="96"/>
      <c r="E41" s="23"/>
      <c r="F41" s="23"/>
      <c r="G41" s="95"/>
      <c r="H41" s="195" t="s">
        <v>492</v>
      </c>
      <c r="I41" s="264">
        <v>0.0</v>
      </c>
      <c r="J41" s="96"/>
      <c r="K41" s="95"/>
      <c r="L41" s="199" t="s">
        <v>261</v>
      </c>
      <c r="M41" s="239" t="s">
        <v>753</v>
      </c>
      <c r="N41" s="239" t="s">
        <v>754</v>
      </c>
      <c r="O41" s="96"/>
      <c r="P41" s="23"/>
      <c r="Q41" s="23"/>
    </row>
    <row r="42">
      <c r="A42" s="1"/>
      <c r="B42" s="201" t="s">
        <v>263</v>
      </c>
      <c r="C42" s="193">
        <v>0.0</v>
      </c>
      <c r="D42" s="268"/>
      <c r="E42" s="23"/>
      <c r="F42" s="23"/>
      <c r="G42" s="95"/>
      <c r="H42" s="195" t="s">
        <v>495</v>
      </c>
      <c r="I42" s="264">
        <v>0.0</v>
      </c>
      <c r="J42" s="96"/>
      <c r="K42" s="95"/>
      <c r="L42" s="199" t="s">
        <v>264</v>
      </c>
      <c r="M42" s="239">
        <v>14.0</v>
      </c>
      <c r="N42" s="239">
        <v>9.0</v>
      </c>
      <c r="O42" s="96"/>
      <c r="P42" s="23"/>
      <c r="Q42" s="23"/>
    </row>
    <row r="43">
      <c r="A43" s="1"/>
      <c r="B43" s="194" t="s">
        <v>265</v>
      </c>
      <c r="C43" s="119">
        <v>30.0</v>
      </c>
      <c r="D43" s="96"/>
      <c r="E43" s="23"/>
      <c r="F43" s="23"/>
      <c r="G43" s="95"/>
      <c r="H43" s="191" t="s">
        <v>232</v>
      </c>
      <c r="I43" s="119">
        <v>542.0</v>
      </c>
      <c r="J43" s="96"/>
      <c r="K43" s="95"/>
      <c r="L43" s="199" t="s">
        <v>266</v>
      </c>
      <c r="M43" s="239">
        <v>2.0</v>
      </c>
      <c r="N43" s="239">
        <v>8.0</v>
      </c>
      <c r="O43" s="96"/>
      <c r="P43" s="23"/>
      <c r="Q43" s="23"/>
    </row>
    <row r="44">
      <c r="A44" s="1"/>
      <c r="B44" s="194" t="s">
        <v>267</v>
      </c>
      <c r="C44" s="119">
        <v>87.0</v>
      </c>
      <c r="D44" s="96"/>
      <c r="E44" s="23"/>
      <c r="F44" s="23"/>
      <c r="G44" s="95"/>
      <c r="H44" s="267" t="s">
        <v>499</v>
      </c>
      <c r="I44" s="30">
        <v>0.0</v>
      </c>
      <c r="J44" s="96"/>
      <c r="K44" s="95"/>
      <c r="L44" s="199" t="s">
        <v>268</v>
      </c>
      <c r="M44" s="239" t="s">
        <v>755</v>
      </c>
      <c r="N44" s="239">
        <v>0.0</v>
      </c>
      <c r="O44" s="96"/>
      <c r="P44" s="23"/>
      <c r="Q44" s="23"/>
    </row>
    <row r="45">
      <c r="A45" s="1"/>
      <c r="B45" s="194" t="s">
        <v>269</v>
      </c>
      <c r="C45" s="119">
        <v>82.0</v>
      </c>
      <c r="D45" s="96"/>
      <c r="E45" s="23"/>
      <c r="F45" s="23"/>
      <c r="G45" s="95"/>
      <c r="H45" s="267" t="s">
        <v>503</v>
      </c>
      <c r="I45" s="30">
        <v>0.0</v>
      </c>
      <c r="J45" s="96"/>
      <c r="K45" s="95"/>
      <c r="L45" s="199" t="s">
        <v>270</v>
      </c>
      <c r="M45" s="239">
        <v>0.0</v>
      </c>
      <c r="N45" s="239">
        <v>0.0</v>
      </c>
      <c r="O45" s="96"/>
      <c r="P45" s="23"/>
      <c r="Q45" s="23"/>
    </row>
    <row r="46">
      <c r="A46" s="1"/>
      <c r="B46" s="194" t="s">
        <v>271</v>
      </c>
      <c r="C46" s="119">
        <v>0.0</v>
      </c>
      <c r="D46" s="96"/>
      <c r="E46" s="23"/>
      <c r="F46" s="23"/>
      <c r="G46" s="95"/>
      <c r="H46" s="267" t="s">
        <v>505</v>
      </c>
      <c r="I46" s="30">
        <v>0.0</v>
      </c>
      <c r="J46" s="96"/>
      <c r="K46" s="95"/>
      <c r="L46" s="199" t="s">
        <v>272</v>
      </c>
      <c r="M46" s="239">
        <v>0.0</v>
      </c>
      <c r="N46" s="239">
        <v>0.0</v>
      </c>
      <c r="O46" s="96"/>
      <c r="P46" s="23"/>
      <c r="Q46" s="23"/>
    </row>
    <row r="47">
      <c r="A47" s="1"/>
      <c r="B47" s="194" t="s">
        <v>273</v>
      </c>
      <c r="C47" s="119">
        <v>0.0</v>
      </c>
      <c r="D47" s="96"/>
      <c r="E47" s="23"/>
      <c r="F47" s="23"/>
      <c r="G47" s="95"/>
      <c r="H47" s="267" t="s">
        <v>508</v>
      </c>
      <c r="I47" s="30">
        <v>0.0</v>
      </c>
      <c r="J47" s="96"/>
      <c r="K47" s="95"/>
      <c r="L47" s="199" t="s">
        <v>274</v>
      </c>
      <c r="M47" s="239" t="s">
        <v>466</v>
      </c>
      <c r="N47" s="239" t="s">
        <v>756</v>
      </c>
      <c r="O47" s="96"/>
      <c r="P47" s="23"/>
      <c r="Q47" s="23"/>
    </row>
    <row r="48">
      <c r="A48" s="1"/>
      <c r="B48" s="194" t="s">
        <v>275</v>
      </c>
      <c r="C48" s="119">
        <v>62.0</v>
      </c>
      <c r="D48" s="96"/>
      <c r="E48" s="23"/>
      <c r="F48" s="23"/>
      <c r="G48" s="95"/>
      <c r="H48" s="267" t="s">
        <v>512</v>
      </c>
      <c r="I48" s="30">
        <v>0.0</v>
      </c>
      <c r="J48" s="96"/>
      <c r="K48" s="95"/>
      <c r="L48" s="199" t="s">
        <v>276</v>
      </c>
      <c r="M48" s="239">
        <v>0.0</v>
      </c>
      <c r="N48" s="239">
        <v>0.0</v>
      </c>
      <c r="O48" s="96"/>
      <c r="P48" s="23"/>
      <c r="Q48" s="23"/>
    </row>
    <row r="49">
      <c r="A49" s="1"/>
      <c r="B49" s="194" t="s">
        <v>278</v>
      </c>
      <c r="C49" s="119">
        <v>0.0</v>
      </c>
      <c r="D49" s="96"/>
      <c r="E49" s="23"/>
      <c r="F49" s="23"/>
      <c r="G49" s="95"/>
      <c r="H49" s="267" t="s">
        <v>514</v>
      </c>
      <c r="I49" s="30">
        <v>0.0</v>
      </c>
      <c r="J49" s="96"/>
      <c r="K49" s="95"/>
      <c r="L49" s="96"/>
      <c r="M49" s="23"/>
      <c r="N49" s="23"/>
      <c r="O49" s="96"/>
      <c r="P49" s="23"/>
      <c r="Q49" s="23"/>
    </row>
    <row r="50">
      <c r="A50" s="1"/>
      <c r="B50" s="194" t="s">
        <v>279</v>
      </c>
      <c r="C50" s="119">
        <v>68.0</v>
      </c>
      <c r="D50" s="96"/>
      <c r="E50" s="23"/>
      <c r="F50" s="23"/>
      <c r="G50" s="95"/>
      <c r="H50" s="267" t="s">
        <v>516</v>
      </c>
      <c r="I50" s="30">
        <v>0.0</v>
      </c>
      <c r="J50" s="96"/>
      <c r="K50" s="95"/>
      <c r="L50" s="96"/>
      <c r="M50" s="23"/>
      <c r="N50" s="23"/>
      <c r="O50" s="96"/>
      <c r="P50" s="23"/>
      <c r="Q50" s="23"/>
    </row>
    <row r="51">
      <c r="A51" s="1"/>
      <c r="B51" s="194" t="s">
        <v>280</v>
      </c>
      <c r="C51" s="119">
        <v>349.0</v>
      </c>
      <c r="D51" s="96"/>
      <c r="E51" s="23"/>
      <c r="F51" s="23"/>
      <c r="G51" s="95"/>
      <c r="H51" s="267" t="s">
        <v>518</v>
      </c>
      <c r="I51" s="30">
        <v>0.0</v>
      </c>
      <c r="J51" s="96"/>
      <c r="K51" s="95"/>
      <c r="L51" s="96"/>
      <c r="M51" s="23"/>
      <c r="N51" s="23"/>
      <c r="O51" s="96"/>
      <c r="P51" s="23"/>
      <c r="Q51" s="23"/>
    </row>
    <row r="52">
      <c r="A52" s="1"/>
      <c r="B52" s="194" t="s">
        <v>281</v>
      </c>
      <c r="C52" s="119">
        <v>33.0</v>
      </c>
      <c r="D52" s="96"/>
      <c r="E52" s="23"/>
      <c r="F52" s="23"/>
      <c r="G52" s="95"/>
      <c r="H52" s="267" t="s">
        <v>521</v>
      </c>
      <c r="I52" s="30">
        <v>0.0</v>
      </c>
      <c r="J52" s="96"/>
      <c r="K52" s="95"/>
      <c r="L52" s="96"/>
      <c r="M52" s="23"/>
      <c r="N52" s="23"/>
      <c r="O52" s="96"/>
      <c r="P52" s="23"/>
      <c r="Q52" s="23"/>
    </row>
    <row r="53">
      <c r="A53" s="1"/>
      <c r="B53" s="194" t="s">
        <v>282</v>
      </c>
      <c r="C53" s="119">
        <v>0.0</v>
      </c>
      <c r="D53" s="96"/>
      <c r="E53" s="23"/>
      <c r="F53" s="23"/>
      <c r="G53" s="95"/>
      <c r="H53" s="267" t="s">
        <v>523</v>
      </c>
      <c r="I53" s="30">
        <v>0.0</v>
      </c>
      <c r="J53" s="96"/>
      <c r="K53" s="95"/>
      <c r="L53" s="96"/>
      <c r="M53" s="23"/>
      <c r="N53" s="23"/>
      <c r="O53" s="96"/>
      <c r="P53" s="23"/>
      <c r="Q53" s="23"/>
    </row>
    <row r="54">
      <c r="A54" s="1"/>
      <c r="B54" s="194" t="s">
        <v>283</v>
      </c>
      <c r="C54" s="119">
        <v>0.0</v>
      </c>
      <c r="D54" s="96"/>
      <c r="E54" s="23"/>
      <c r="F54" s="23"/>
      <c r="G54" s="95"/>
      <c r="H54" s="96"/>
      <c r="I54" s="23"/>
      <c r="J54" s="96"/>
      <c r="K54" s="95"/>
      <c r="L54" s="96"/>
      <c r="M54" s="23"/>
      <c r="N54" s="23"/>
      <c r="O54" s="96"/>
      <c r="P54" s="23"/>
      <c r="Q54" s="23"/>
    </row>
    <row r="55">
      <c r="A55" s="1"/>
      <c r="B55" s="23"/>
      <c r="C55" s="23"/>
      <c r="D55" s="96"/>
      <c r="E55" s="23"/>
      <c r="F55" s="23"/>
      <c r="G55" s="95"/>
      <c r="H55" s="96"/>
      <c r="I55" s="23"/>
      <c r="J55" s="96"/>
      <c r="K55" s="95"/>
      <c r="L55" s="96"/>
      <c r="M55" s="23"/>
      <c r="N55" s="23"/>
      <c r="O55" s="96"/>
      <c r="P55" s="23"/>
      <c r="Q55" s="23"/>
    </row>
    <row r="56">
      <c r="A56" s="24" t="s">
        <v>284</v>
      </c>
      <c r="B56" s="23"/>
      <c r="C56" s="23"/>
      <c r="D56" s="96"/>
      <c r="E56" s="23"/>
      <c r="F56" s="23"/>
      <c r="G56" s="95"/>
      <c r="H56" s="96"/>
      <c r="I56" s="23"/>
      <c r="J56" s="96"/>
      <c r="K56" s="95"/>
      <c r="L56" s="96"/>
      <c r="M56" s="23"/>
      <c r="N56" s="23"/>
      <c r="O56" s="96"/>
      <c r="P56" s="23"/>
      <c r="Q56" s="23"/>
    </row>
    <row r="57">
      <c r="A57" s="1"/>
      <c r="B57" s="175" t="s">
        <v>285</v>
      </c>
      <c r="C57" s="176">
        <v>0.0</v>
      </c>
      <c r="D57" s="164" t="s">
        <v>757</v>
      </c>
      <c r="E57" s="176">
        <v>109.0</v>
      </c>
      <c r="F57" s="176">
        <v>41.0</v>
      </c>
      <c r="G57" s="165">
        <v>68.0</v>
      </c>
      <c r="H57" s="195" t="s">
        <v>532</v>
      </c>
      <c r="I57" s="264">
        <v>3.0</v>
      </c>
      <c r="J57" s="177" t="s">
        <v>758</v>
      </c>
      <c r="K57" s="178">
        <v>21.0</v>
      </c>
      <c r="L57" s="199" t="s">
        <v>287</v>
      </c>
      <c r="M57" s="239">
        <v>0.0</v>
      </c>
      <c r="N57" s="239">
        <v>0.0</v>
      </c>
      <c r="O57" s="291" t="s">
        <v>759</v>
      </c>
      <c r="P57" s="292" t="s">
        <v>760</v>
      </c>
      <c r="Q57" s="292" t="s">
        <v>761</v>
      </c>
    </row>
    <row r="58">
      <c r="A58" s="1"/>
      <c r="B58" s="23"/>
      <c r="C58" s="23"/>
      <c r="D58" s="164" t="s">
        <v>762</v>
      </c>
      <c r="E58" s="176">
        <v>0.0</v>
      </c>
      <c r="F58" s="176">
        <v>0.0</v>
      </c>
      <c r="G58" s="165">
        <v>0.0</v>
      </c>
      <c r="H58" s="96"/>
      <c r="I58" s="23"/>
      <c r="J58" s="202" t="s">
        <v>306</v>
      </c>
      <c r="K58" s="203">
        <f>115/21</f>
        <v>5.476190476</v>
      </c>
      <c r="L58" s="199" t="s">
        <v>290</v>
      </c>
      <c r="M58" s="239">
        <v>0.0</v>
      </c>
      <c r="N58" s="239">
        <v>0.0</v>
      </c>
      <c r="O58" s="291" t="s">
        <v>763</v>
      </c>
      <c r="P58" s="292" t="s">
        <v>764</v>
      </c>
      <c r="Q58" s="292" t="s">
        <v>765</v>
      </c>
    </row>
    <row r="59">
      <c r="A59" s="1"/>
      <c r="B59" s="23"/>
      <c r="C59" s="23"/>
      <c r="D59" s="169" t="s">
        <v>766</v>
      </c>
      <c r="E59" s="160">
        <v>3.0</v>
      </c>
      <c r="F59" s="160">
        <v>1.0</v>
      </c>
      <c r="G59" s="170">
        <v>0.0</v>
      </c>
      <c r="H59" s="96"/>
      <c r="I59" s="23"/>
      <c r="J59" s="96"/>
      <c r="K59" s="95"/>
      <c r="L59" s="199" t="s">
        <v>293</v>
      </c>
      <c r="M59" s="239">
        <v>0.0</v>
      </c>
      <c r="N59" s="239">
        <v>0.0</v>
      </c>
      <c r="O59" s="202" t="s">
        <v>306</v>
      </c>
      <c r="P59" s="204">
        <f>286/213</f>
        <v>1.342723005</v>
      </c>
      <c r="Q59" s="204">
        <f>232/176</f>
        <v>1.318181818</v>
      </c>
    </row>
    <row r="60">
      <c r="A60" s="1"/>
      <c r="B60" s="23"/>
      <c r="C60" s="23"/>
      <c r="D60" s="173" t="s">
        <v>767</v>
      </c>
      <c r="E60" s="181">
        <v>0.0</v>
      </c>
      <c r="F60" s="181">
        <v>0.0</v>
      </c>
      <c r="G60" s="174">
        <v>1.0</v>
      </c>
      <c r="H60" s="96"/>
      <c r="I60" s="23"/>
      <c r="J60" s="96"/>
      <c r="K60" s="95"/>
      <c r="L60" s="199" t="s">
        <v>296</v>
      </c>
      <c r="M60" s="239">
        <v>0.0</v>
      </c>
      <c r="N60" s="239">
        <v>0.0</v>
      </c>
      <c r="O60" s="96"/>
      <c r="P60" s="23"/>
      <c r="Q60" s="23"/>
    </row>
    <row r="61">
      <c r="A61" s="1"/>
      <c r="B61" s="23"/>
      <c r="C61" s="23"/>
      <c r="D61" s="173" t="s">
        <v>768</v>
      </c>
      <c r="E61" s="181">
        <v>0.0</v>
      </c>
      <c r="F61" s="181">
        <v>3.0</v>
      </c>
      <c r="G61" s="174">
        <v>1.0</v>
      </c>
      <c r="H61" s="96"/>
      <c r="I61" s="23"/>
      <c r="J61" s="96"/>
      <c r="K61" s="95"/>
      <c r="L61" s="199" t="s">
        <v>298</v>
      </c>
      <c r="M61" s="239">
        <v>0.0</v>
      </c>
      <c r="N61" s="239">
        <v>0.0</v>
      </c>
      <c r="O61" s="96"/>
      <c r="P61" s="23"/>
      <c r="Q61" s="23"/>
    </row>
    <row r="62">
      <c r="A62" s="1"/>
      <c r="B62" s="23"/>
      <c r="C62" s="23"/>
      <c r="D62" s="169" t="s">
        <v>769</v>
      </c>
      <c r="E62" s="160">
        <v>0.0</v>
      </c>
      <c r="F62" s="160">
        <v>0.0</v>
      </c>
      <c r="G62" s="170">
        <v>0.0</v>
      </c>
      <c r="H62" s="96"/>
      <c r="I62" s="23"/>
      <c r="J62" s="96"/>
      <c r="K62" s="95"/>
      <c r="L62" s="164" t="s">
        <v>300</v>
      </c>
      <c r="M62" s="176">
        <v>0.0</v>
      </c>
      <c r="N62" s="176">
        <v>1.0</v>
      </c>
      <c r="O62" s="96"/>
      <c r="P62" s="23"/>
      <c r="Q62" s="23"/>
    </row>
    <row r="63">
      <c r="A63" s="1"/>
      <c r="B63" s="23"/>
      <c r="C63" s="23"/>
      <c r="D63" s="164" t="s">
        <v>770</v>
      </c>
      <c r="E63" s="176">
        <v>0.0</v>
      </c>
      <c r="F63" s="176">
        <v>0.0</v>
      </c>
      <c r="G63" s="165">
        <v>0.0</v>
      </c>
      <c r="H63" s="96"/>
      <c r="I63" s="23"/>
      <c r="J63" s="96"/>
      <c r="K63" s="95"/>
      <c r="L63" s="169" t="s">
        <v>302</v>
      </c>
      <c r="M63" s="160">
        <v>66.0</v>
      </c>
      <c r="N63" s="160">
        <v>14.0</v>
      </c>
      <c r="O63" s="96"/>
      <c r="P63" s="23"/>
      <c r="Q63" s="23"/>
    </row>
    <row r="64">
      <c r="A64" s="1"/>
      <c r="B64" s="23"/>
      <c r="C64" s="23"/>
      <c r="D64" s="202" t="s">
        <v>306</v>
      </c>
      <c r="E64" s="204">
        <f>121/109</f>
        <v>1.110091743</v>
      </c>
      <c r="F64" s="204">
        <f>42/41</f>
        <v>1.024390244</v>
      </c>
      <c r="G64" s="203">
        <f>75/68</f>
        <v>1.102941176</v>
      </c>
      <c r="H64" s="96"/>
      <c r="I64" s="23"/>
      <c r="J64" s="96"/>
      <c r="K64" s="95"/>
      <c r="L64" s="169" t="s">
        <v>304</v>
      </c>
      <c r="M64" s="160">
        <v>6.0</v>
      </c>
      <c r="N64" s="160">
        <v>5.0</v>
      </c>
      <c r="O64" s="96"/>
      <c r="P64" s="23"/>
      <c r="Q64" s="23"/>
    </row>
    <row r="65">
      <c r="A65" s="1"/>
      <c r="B65" s="23"/>
      <c r="C65" s="23"/>
      <c r="D65" s="96"/>
      <c r="E65" s="23"/>
      <c r="F65" s="23"/>
      <c r="G65" s="95"/>
      <c r="H65" s="96"/>
      <c r="I65" s="23"/>
      <c r="J65" s="96"/>
      <c r="K65" s="95"/>
      <c r="L65" s="202" t="s">
        <v>306</v>
      </c>
      <c r="M65" s="204">
        <v>0.0</v>
      </c>
      <c r="N65" s="204">
        <f>3/1</f>
        <v>3</v>
      </c>
      <c r="O65" s="96"/>
      <c r="P65" s="23"/>
      <c r="Q65" s="23"/>
    </row>
    <row r="66">
      <c r="A66" s="1"/>
      <c r="B66" s="23"/>
      <c r="C66" s="23"/>
      <c r="D66" s="96"/>
      <c r="E66" s="23"/>
      <c r="F66" s="23"/>
      <c r="G66" s="95"/>
      <c r="H66" s="96"/>
      <c r="I66" s="23"/>
      <c r="J66" s="96"/>
      <c r="K66" s="95"/>
      <c r="L66" s="96"/>
      <c r="M66" s="23"/>
      <c r="N66" s="23"/>
      <c r="O66" s="96"/>
      <c r="P66" s="23"/>
      <c r="Q66" s="23"/>
    </row>
    <row r="67">
      <c r="A67" s="205"/>
      <c r="B67" s="206"/>
      <c r="C67" s="206">
        <v>999.0</v>
      </c>
      <c r="D67" s="207"/>
      <c r="E67" s="206">
        <v>1698.0</v>
      </c>
      <c r="F67" s="206">
        <v>1557.0</v>
      </c>
      <c r="G67" s="208">
        <v>2000.0</v>
      </c>
      <c r="H67" s="207"/>
      <c r="I67" s="206">
        <v>1319.0</v>
      </c>
      <c r="J67" s="207"/>
      <c r="K67" s="208">
        <v>842.0</v>
      </c>
      <c r="L67" s="207"/>
      <c r="M67" s="206">
        <v>1027.0</v>
      </c>
      <c r="N67" s="206">
        <v>854.0</v>
      </c>
      <c r="O67" s="207"/>
      <c r="P67" s="206">
        <v>746.0</v>
      </c>
      <c r="Q67" s="206">
        <v>1047.0</v>
      </c>
    </row>
    <row r="68">
      <c r="A68" s="209" t="s">
        <v>307</v>
      </c>
      <c r="B68" s="210"/>
      <c r="C68" s="211">
        <v>999.0</v>
      </c>
      <c r="D68" s="212"/>
      <c r="E68" s="211">
        <v>1538.0</v>
      </c>
      <c r="F68" s="211">
        <v>1492.0</v>
      </c>
      <c r="G68" s="213">
        <v>1900.0</v>
      </c>
      <c r="H68" s="212"/>
      <c r="I68" s="211">
        <v>1308.0</v>
      </c>
      <c r="J68" s="212"/>
      <c r="K68" s="213">
        <v>823.0</v>
      </c>
      <c r="L68" s="212"/>
      <c r="M68" s="211">
        <v>920.0</v>
      </c>
      <c r="N68" s="211">
        <v>823.0</v>
      </c>
      <c r="O68" s="212"/>
      <c r="P68" s="211">
        <v>520.0</v>
      </c>
      <c r="Q68" s="211">
        <v>841.0</v>
      </c>
    </row>
    <row r="69">
      <c r="A69" s="214" t="s">
        <v>308</v>
      </c>
      <c r="B69" s="215"/>
      <c r="C69" s="215">
        <f>999/MAX(A67:Q67,1)</f>
        <v>0.4995</v>
      </c>
      <c r="D69" s="216"/>
      <c r="E69" s="215">
        <f>1538/MAX(A67:Q67,1)</f>
        <v>0.769</v>
      </c>
      <c r="F69" s="215">
        <f>1492/MAX(A67:Q67,1)</f>
        <v>0.746</v>
      </c>
      <c r="G69" s="217">
        <f>1900/MAX(A67:Q67,1)</f>
        <v>0.95</v>
      </c>
      <c r="H69" s="216"/>
      <c r="I69" s="215">
        <f>1308/MAX(A67:Q67,1)</f>
        <v>0.654</v>
      </c>
      <c r="J69" s="216"/>
      <c r="K69" s="217">
        <f>823/MAX(A67:Q67,1)</f>
        <v>0.4115</v>
      </c>
      <c r="L69" s="216"/>
      <c r="M69" s="215">
        <f>920/MAX(A67:Q67,1)</f>
        <v>0.46</v>
      </c>
      <c r="N69" s="215">
        <f>823/MAX(A67:Q67,1)</f>
        <v>0.4115</v>
      </c>
      <c r="O69" s="216"/>
      <c r="P69" s="215">
        <f>520/MAX(A67:Q67,1)</f>
        <v>0.26</v>
      </c>
      <c r="Q69" s="215">
        <f>841/MAX(A67:Q67,1)</f>
        <v>0.4205</v>
      </c>
    </row>
    <row r="70">
      <c r="A70" s="218" t="s">
        <v>309</v>
      </c>
      <c r="B70" s="219"/>
      <c r="C70" s="220">
        <f>C69+C71</f>
        <v>0.4995</v>
      </c>
      <c r="D70" s="221"/>
      <c r="E70" s="220">
        <f t="shared" ref="E70:G70" si="1">E69+E71</f>
        <v>0.849</v>
      </c>
      <c r="F70" s="220">
        <f t="shared" si="1"/>
        <v>0.7785</v>
      </c>
      <c r="G70" s="222">
        <f t="shared" si="1"/>
        <v>1</v>
      </c>
      <c r="H70" s="221"/>
      <c r="I70" s="220">
        <f>I69+I71</f>
        <v>0.6595</v>
      </c>
      <c r="J70" s="221"/>
      <c r="K70" s="222">
        <f>K69+K71</f>
        <v>0.421</v>
      </c>
      <c r="L70" s="221"/>
      <c r="M70" s="220">
        <f t="shared" ref="M70:N70" si="2">M69+M71</f>
        <v>0.5135</v>
      </c>
      <c r="N70" s="220">
        <f t="shared" si="2"/>
        <v>0.427</v>
      </c>
      <c r="O70" s="221"/>
      <c r="P70" s="220">
        <f t="shared" ref="P70:Q70" si="3">P69+P71</f>
        <v>0.373</v>
      </c>
      <c r="Q70" s="220">
        <f t="shared" si="3"/>
        <v>0.5235</v>
      </c>
    </row>
    <row r="71">
      <c r="A71" s="223" t="s">
        <v>310</v>
      </c>
      <c r="B71" s="224"/>
      <c r="C71" s="224">
        <f>0/MAX(A67:Q67,1)</f>
        <v>0</v>
      </c>
      <c r="D71" s="225"/>
      <c r="E71" s="224">
        <f>160/MAX(A67:Q67,1)</f>
        <v>0.08</v>
      </c>
      <c r="F71" s="224">
        <f>65/MAX(A67:Q67,1)</f>
        <v>0.0325</v>
      </c>
      <c r="G71" s="226">
        <f>100/MAX(A67:Q67,1)</f>
        <v>0.05</v>
      </c>
      <c r="H71" s="225"/>
      <c r="I71" s="224">
        <f>11/MAX(A67:Q67,1)</f>
        <v>0.0055</v>
      </c>
      <c r="J71" s="225"/>
      <c r="K71" s="226">
        <f>19/MAX(A67:Q67,1)</f>
        <v>0.0095</v>
      </c>
      <c r="L71" s="225"/>
      <c r="M71" s="224">
        <f>107/MAX(A67:Q67,1)</f>
        <v>0.0535</v>
      </c>
      <c r="N71" s="224">
        <f>31/MAX(A67:Q67,1)</f>
        <v>0.0155</v>
      </c>
      <c r="O71" s="225"/>
      <c r="P71" s="224">
        <f>226/MAX(A67:Q67,1)</f>
        <v>0.113</v>
      </c>
      <c r="Q71" s="224">
        <f>206/MAX(A67:Q67,1)</f>
        <v>0.103</v>
      </c>
    </row>
    <row r="72">
      <c r="A72" s="209" t="s">
        <v>311</v>
      </c>
      <c r="B72" s="210"/>
      <c r="C72" s="211">
        <v>0.0</v>
      </c>
      <c r="D72" s="212"/>
      <c r="E72" s="211">
        <v>160.0</v>
      </c>
      <c r="F72" s="211">
        <v>65.0</v>
      </c>
      <c r="G72" s="213">
        <v>100.0</v>
      </c>
      <c r="H72" s="212"/>
      <c r="I72" s="211">
        <v>11.0</v>
      </c>
      <c r="J72" s="212"/>
      <c r="K72" s="213">
        <v>19.0</v>
      </c>
      <c r="L72" s="212"/>
      <c r="M72" s="211">
        <v>107.0</v>
      </c>
      <c r="N72" s="211">
        <v>31.0</v>
      </c>
      <c r="O72" s="212"/>
      <c r="P72" s="211">
        <v>226.0</v>
      </c>
      <c r="Q72" s="211">
        <v>206.0</v>
      </c>
    </row>
    <row r="73">
      <c r="A73" s="227" t="s">
        <v>312</v>
      </c>
      <c r="B73" s="228"/>
      <c r="C73" s="228">
        <v>0.72</v>
      </c>
      <c r="D73" s="229"/>
      <c r="E73" s="228">
        <v>0.85</v>
      </c>
      <c r="F73" s="228">
        <v>0.83</v>
      </c>
      <c r="G73" s="230">
        <v>0.87</v>
      </c>
      <c r="H73" s="229"/>
      <c r="I73" s="228">
        <v>0.74</v>
      </c>
      <c r="J73" s="229"/>
      <c r="K73" s="230">
        <v>0.79</v>
      </c>
      <c r="L73" s="229"/>
      <c r="M73" s="228">
        <v>0.82</v>
      </c>
      <c r="N73" s="228">
        <v>0.74</v>
      </c>
      <c r="O73" s="229"/>
      <c r="P73" s="228">
        <v>0.69</v>
      </c>
      <c r="Q73" s="228">
        <v>0.73</v>
      </c>
    </row>
    <row r="74">
      <c r="A74" s="1"/>
      <c r="B74" s="23"/>
      <c r="C74" s="23"/>
      <c r="D74" s="96"/>
      <c r="E74" s="23"/>
      <c r="F74" s="23"/>
      <c r="G74" s="95"/>
      <c r="H74" s="96"/>
      <c r="I74" s="23"/>
      <c r="J74" s="96"/>
      <c r="K74" s="95"/>
      <c r="L74" s="96"/>
      <c r="M74" s="23"/>
      <c r="N74" s="23"/>
      <c r="O74" s="96"/>
      <c r="P74" s="23"/>
      <c r="Q74" s="23"/>
    </row>
    <row r="75">
      <c r="A75" s="24" t="s">
        <v>313</v>
      </c>
      <c r="B75" s="23"/>
      <c r="C75" s="23"/>
      <c r="D75" s="96"/>
      <c r="E75" s="23"/>
      <c r="F75" s="23"/>
      <c r="G75" s="95"/>
      <c r="H75" s="96"/>
      <c r="I75" s="23"/>
      <c r="J75" s="96"/>
      <c r="K75" s="95"/>
      <c r="L75" s="96"/>
      <c r="M75" s="23"/>
      <c r="N75" s="23"/>
      <c r="O75" s="96"/>
      <c r="P75" s="23"/>
      <c r="Q75" s="23"/>
    </row>
    <row r="76">
      <c r="A76" s="1"/>
      <c r="B76" s="231" t="s">
        <v>314</v>
      </c>
      <c r="C76" s="43">
        <v>0.0</v>
      </c>
      <c r="D76" s="232" t="s">
        <v>314</v>
      </c>
      <c r="E76" s="43">
        <v>0.0</v>
      </c>
      <c r="F76" s="43">
        <v>0.0</v>
      </c>
      <c r="G76" s="233">
        <v>0.0</v>
      </c>
      <c r="H76" s="232" t="s">
        <v>546</v>
      </c>
      <c r="I76" s="43">
        <v>0.0</v>
      </c>
      <c r="J76" s="232" t="s">
        <v>314</v>
      </c>
      <c r="K76" s="233">
        <v>0.0</v>
      </c>
      <c r="L76" s="232" t="s">
        <v>314</v>
      </c>
      <c r="M76" s="43">
        <v>0.0</v>
      </c>
      <c r="N76" s="43">
        <v>0.0</v>
      </c>
      <c r="O76" s="232" t="s">
        <v>314</v>
      </c>
      <c r="P76" s="43">
        <v>0.0</v>
      </c>
      <c r="Q76" s="43">
        <v>0.0</v>
      </c>
    </row>
    <row r="77">
      <c r="A77" s="1"/>
      <c r="B77" s="231" t="s">
        <v>315</v>
      </c>
      <c r="C77" s="43">
        <v>0.0</v>
      </c>
      <c r="D77" s="232" t="s">
        <v>315</v>
      </c>
      <c r="E77" s="43">
        <v>0.0</v>
      </c>
      <c r="F77" s="43">
        <v>0.0</v>
      </c>
      <c r="G77" s="233">
        <v>0.0</v>
      </c>
      <c r="H77" s="232" t="s">
        <v>547</v>
      </c>
      <c r="I77" s="43">
        <v>0.0</v>
      </c>
      <c r="J77" s="232" t="s">
        <v>315</v>
      </c>
      <c r="K77" s="233">
        <v>0.0</v>
      </c>
      <c r="L77" s="232" t="s">
        <v>315</v>
      </c>
      <c r="M77" s="43">
        <v>0.0</v>
      </c>
      <c r="N77" s="43">
        <v>0.0</v>
      </c>
      <c r="O77" s="232" t="s">
        <v>315</v>
      </c>
      <c r="P77" s="43">
        <v>0.0</v>
      </c>
      <c r="Q77" s="43">
        <v>1.0</v>
      </c>
    </row>
    <row r="78">
      <c r="A78" s="1"/>
      <c r="B78" s="234" t="s">
        <v>316</v>
      </c>
      <c r="C78" s="235">
        <v>0.0</v>
      </c>
      <c r="D78" s="236" t="s">
        <v>316</v>
      </c>
      <c r="E78" s="235">
        <v>0.0</v>
      </c>
      <c r="F78" s="235">
        <v>0.0</v>
      </c>
      <c r="G78" s="237">
        <v>0.0</v>
      </c>
      <c r="H78" s="236" t="s">
        <v>316</v>
      </c>
      <c r="I78" s="235">
        <v>0.0</v>
      </c>
      <c r="J78" s="236" t="s">
        <v>316</v>
      </c>
      <c r="K78" s="237">
        <v>0.0</v>
      </c>
      <c r="L78" s="236" t="s">
        <v>316</v>
      </c>
      <c r="M78" s="235">
        <v>0.0</v>
      </c>
      <c r="N78" s="235">
        <v>0.0</v>
      </c>
      <c r="O78" s="236" t="s">
        <v>316</v>
      </c>
      <c r="P78" s="235">
        <v>0.0</v>
      </c>
      <c r="Q78" s="235">
        <v>1.0</v>
      </c>
    </row>
    <row r="79">
      <c r="A79" s="1"/>
      <c r="B79" s="238" t="s">
        <v>317</v>
      </c>
      <c r="C79" s="239">
        <v>0.0</v>
      </c>
      <c r="D79" s="199" t="s">
        <v>317</v>
      </c>
      <c r="E79" s="239">
        <v>0.0</v>
      </c>
      <c r="F79" s="239">
        <v>0.0</v>
      </c>
      <c r="G79" s="200">
        <v>0.0</v>
      </c>
      <c r="H79" s="199" t="s">
        <v>317</v>
      </c>
      <c r="I79" s="239">
        <v>0.0</v>
      </c>
      <c r="J79" s="199" t="s">
        <v>317</v>
      </c>
      <c r="K79" s="200">
        <v>0.0</v>
      </c>
      <c r="L79" s="199" t="s">
        <v>317</v>
      </c>
      <c r="M79" s="239">
        <v>0.0</v>
      </c>
      <c r="N79" s="239">
        <v>0.0</v>
      </c>
      <c r="O79" s="199" t="s">
        <v>317</v>
      </c>
      <c r="P79" s="239">
        <v>0.0</v>
      </c>
      <c r="Q79" s="239">
        <v>0.0</v>
      </c>
    </row>
    <row r="80">
      <c r="A80" s="1"/>
      <c r="B80" s="238" t="s">
        <v>318</v>
      </c>
      <c r="C80" s="239">
        <v>10.0</v>
      </c>
      <c r="D80" s="199" t="s">
        <v>318</v>
      </c>
      <c r="E80" s="239">
        <v>10.0</v>
      </c>
      <c r="F80" s="239">
        <v>9.0</v>
      </c>
      <c r="G80" s="200">
        <v>10.0</v>
      </c>
      <c r="H80" s="199" t="s">
        <v>318</v>
      </c>
      <c r="I80" s="239">
        <v>10.0</v>
      </c>
      <c r="J80" s="199" t="s">
        <v>318</v>
      </c>
      <c r="K80" s="200">
        <v>10.0</v>
      </c>
      <c r="L80" s="199" t="s">
        <v>318</v>
      </c>
      <c r="M80" s="239">
        <v>1.0</v>
      </c>
      <c r="N80" s="239">
        <v>1.0</v>
      </c>
      <c r="O80" s="199" t="s">
        <v>318</v>
      </c>
      <c r="P80" s="239">
        <v>10.0</v>
      </c>
      <c r="Q80" s="239">
        <v>10.0</v>
      </c>
    </row>
    <row r="81">
      <c r="A81" s="1"/>
      <c r="B81" s="234" t="s">
        <v>319</v>
      </c>
      <c r="C81" s="235">
        <v>10.0</v>
      </c>
      <c r="D81" s="236" t="s">
        <v>319</v>
      </c>
      <c r="E81" s="235">
        <v>10.0</v>
      </c>
      <c r="F81" s="235">
        <v>9.0</v>
      </c>
      <c r="G81" s="237">
        <v>10.0</v>
      </c>
      <c r="H81" s="236" t="s">
        <v>319</v>
      </c>
      <c r="I81" s="235">
        <v>10.0</v>
      </c>
      <c r="J81" s="236" t="s">
        <v>319</v>
      </c>
      <c r="K81" s="237">
        <v>10.0</v>
      </c>
      <c r="L81" s="236" t="s">
        <v>319</v>
      </c>
      <c r="M81" s="235">
        <v>1.0</v>
      </c>
      <c r="N81" s="235">
        <v>1.0</v>
      </c>
      <c r="O81" s="236" t="s">
        <v>319</v>
      </c>
      <c r="P81" s="235">
        <v>10.0</v>
      </c>
      <c r="Q81" s="235">
        <v>10.0</v>
      </c>
    </row>
    <row r="82">
      <c r="A82" s="1"/>
      <c r="B82" s="188" t="s">
        <v>320</v>
      </c>
      <c r="C82" s="189">
        <v>0.0</v>
      </c>
      <c r="D82" s="240" t="s">
        <v>321</v>
      </c>
      <c r="E82" s="189">
        <v>0.0</v>
      </c>
      <c r="F82" s="189">
        <v>0.0</v>
      </c>
      <c r="G82" s="241">
        <v>0.0</v>
      </c>
      <c r="H82" s="240" t="s">
        <v>321</v>
      </c>
      <c r="I82" s="189">
        <v>0.0</v>
      </c>
      <c r="J82" s="177" t="s">
        <v>771</v>
      </c>
      <c r="K82" s="178">
        <v>0.0</v>
      </c>
      <c r="L82" s="240" t="s">
        <v>321</v>
      </c>
      <c r="M82" s="189">
        <v>0.0</v>
      </c>
      <c r="N82" s="189">
        <v>0.0</v>
      </c>
      <c r="O82" s="291" t="s">
        <v>772</v>
      </c>
      <c r="P82" s="292">
        <v>0.0</v>
      </c>
      <c r="Q82" s="292">
        <v>0.0</v>
      </c>
    </row>
    <row r="83">
      <c r="A83" s="1"/>
      <c r="B83" s="188" t="s">
        <v>322</v>
      </c>
      <c r="C83" s="189" t="s">
        <v>773</v>
      </c>
      <c r="D83" s="240" t="s">
        <v>324</v>
      </c>
      <c r="E83" s="189">
        <v>0.0</v>
      </c>
      <c r="F83" s="189">
        <v>0.0</v>
      </c>
      <c r="G83" s="241">
        <v>0.0</v>
      </c>
      <c r="H83" s="240" t="s">
        <v>324</v>
      </c>
      <c r="I83" s="189">
        <v>0.0</v>
      </c>
      <c r="J83" s="177" t="s">
        <v>774</v>
      </c>
      <c r="K83" s="178">
        <v>12.0</v>
      </c>
      <c r="L83" s="240" t="s">
        <v>324</v>
      </c>
      <c r="M83" s="189">
        <v>0.0</v>
      </c>
      <c r="N83" s="189">
        <v>0.0</v>
      </c>
      <c r="O83" s="291" t="s">
        <v>775</v>
      </c>
      <c r="P83" s="292">
        <v>20.0</v>
      </c>
      <c r="Q83" s="292">
        <v>1.0</v>
      </c>
    </row>
    <row r="84">
      <c r="A84" s="1"/>
      <c r="B84" s="234" t="s">
        <v>325</v>
      </c>
      <c r="C84" s="235" t="s">
        <v>773</v>
      </c>
      <c r="D84" s="236" t="s">
        <v>325</v>
      </c>
      <c r="E84" s="235">
        <v>0.0</v>
      </c>
      <c r="F84" s="235">
        <v>0.0</v>
      </c>
      <c r="G84" s="237">
        <v>0.0</v>
      </c>
      <c r="H84" s="236" t="s">
        <v>325</v>
      </c>
      <c r="I84" s="235">
        <v>0.0</v>
      </c>
      <c r="J84" s="236" t="s">
        <v>776</v>
      </c>
      <c r="K84" s="237">
        <v>12.0</v>
      </c>
      <c r="L84" s="236" t="s">
        <v>325</v>
      </c>
      <c r="M84" s="235">
        <v>0.0</v>
      </c>
      <c r="N84" s="235">
        <v>0.0</v>
      </c>
      <c r="O84" s="236" t="s">
        <v>777</v>
      </c>
      <c r="P84" s="235">
        <v>20.0</v>
      </c>
      <c r="Q84" s="235">
        <v>1.0</v>
      </c>
    </row>
    <row r="85">
      <c r="A85" s="1"/>
      <c r="B85" s="194" t="s">
        <v>326</v>
      </c>
      <c r="C85" s="119">
        <v>0.0</v>
      </c>
      <c r="D85" s="164" t="s">
        <v>778</v>
      </c>
      <c r="E85" s="176">
        <v>0.0</v>
      </c>
      <c r="F85" s="176">
        <v>0.0</v>
      </c>
      <c r="G85" s="165">
        <v>0.0</v>
      </c>
      <c r="H85" s="195" t="s">
        <v>549</v>
      </c>
      <c r="I85" s="264">
        <v>0.0</v>
      </c>
      <c r="J85" s="166" t="s">
        <v>779</v>
      </c>
      <c r="K85" s="168">
        <v>0.0</v>
      </c>
      <c r="L85" s="177" t="s">
        <v>327</v>
      </c>
      <c r="M85" s="242" t="s">
        <v>328</v>
      </c>
      <c r="N85" s="242" t="s">
        <v>328</v>
      </c>
      <c r="O85" s="291" t="s">
        <v>780</v>
      </c>
      <c r="P85" s="292">
        <v>0.0</v>
      </c>
      <c r="Q85" s="292">
        <v>0.0</v>
      </c>
    </row>
    <row r="86">
      <c r="A86" s="1"/>
      <c r="B86" s="194" t="s">
        <v>330</v>
      </c>
      <c r="C86" s="119">
        <v>0.0</v>
      </c>
      <c r="D86" s="164" t="s">
        <v>781</v>
      </c>
      <c r="E86" s="176">
        <v>14.0</v>
      </c>
      <c r="F86" s="176">
        <v>0.0</v>
      </c>
      <c r="G86" s="165">
        <v>17.0</v>
      </c>
      <c r="H86" s="195" t="s">
        <v>551</v>
      </c>
      <c r="I86" s="264">
        <v>14.0</v>
      </c>
      <c r="J86" s="166" t="s">
        <v>782</v>
      </c>
      <c r="K86" s="168">
        <v>11.0</v>
      </c>
      <c r="L86" s="177" t="s">
        <v>331</v>
      </c>
      <c r="M86" s="242" t="s">
        <v>328</v>
      </c>
      <c r="N86" s="242" t="s">
        <v>328</v>
      </c>
      <c r="O86" s="291" t="s">
        <v>783</v>
      </c>
      <c r="P86" s="292">
        <v>36.0</v>
      </c>
      <c r="Q86" s="292">
        <v>33.0</v>
      </c>
    </row>
    <row r="87">
      <c r="A87" s="1"/>
      <c r="B87" s="234" t="s">
        <v>333</v>
      </c>
      <c r="C87" s="235">
        <v>0.0</v>
      </c>
      <c r="D87" s="236" t="s">
        <v>784</v>
      </c>
      <c r="E87" s="235">
        <v>14.0</v>
      </c>
      <c r="F87" s="235">
        <v>0.0</v>
      </c>
      <c r="G87" s="237">
        <v>17.0</v>
      </c>
      <c r="H87" s="236" t="s">
        <v>553</v>
      </c>
      <c r="I87" s="235">
        <v>14.0</v>
      </c>
      <c r="J87" s="236" t="s">
        <v>785</v>
      </c>
      <c r="K87" s="237">
        <v>11.0</v>
      </c>
      <c r="L87" s="236" t="s">
        <v>334</v>
      </c>
      <c r="M87" s="235" t="s">
        <v>328</v>
      </c>
      <c r="N87" s="235" t="s">
        <v>328</v>
      </c>
      <c r="O87" s="236" t="s">
        <v>786</v>
      </c>
      <c r="P87" s="235">
        <v>36.0</v>
      </c>
      <c r="Q87" s="235">
        <v>33.0</v>
      </c>
    </row>
    <row r="88">
      <c r="A88" s="1"/>
      <c r="B88" s="194" t="s">
        <v>336</v>
      </c>
      <c r="C88" s="119">
        <v>0.0</v>
      </c>
      <c r="D88" s="164" t="s">
        <v>787</v>
      </c>
      <c r="E88" s="176">
        <v>0.0</v>
      </c>
      <c r="F88" s="176">
        <v>0.0</v>
      </c>
      <c r="G88" s="165">
        <v>0.0</v>
      </c>
      <c r="H88" s="232" t="s">
        <v>555</v>
      </c>
      <c r="I88" s="43">
        <v>0.0</v>
      </c>
      <c r="J88" s="177" t="s">
        <v>788</v>
      </c>
      <c r="K88" s="178">
        <v>0.0</v>
      </c>
      <c r="L88" s="199" t="s">
        <v>338</v>
      </c>
      <c r="M88" s="239">
        <v>0.0</v>
      </c>
      <c r="N88" s="239">
        <v>0.0</v>
      </c>
      <c r="O88" s="291" t="s">
        <v>789</v>
      </c>
      <c r="P88" s="292">
        <v>0.0</v>
      </c>
      <c r="Q88" s="292">
        <v>0.0</v>
      </c>
    </row>
    <row r="89">
      <c r="A89" s="1"/>
      <c r="B89" s="194" t="s">
        <v>339</v>
      </c>
      <c r="C89" s="119">
        <v>0.0</v>
      </c>
      <c r="D89" s="164" t="s">
        <v>790</v>
      </c>
      <c r="E89" s="176">
        <v>0.0</v>
      </c>
      <c r="F89" s="176">
        <v>0.0</v>
      </c>
      <c r="G89" s="165">
        <v>0.0</v>
      </c>
      <c r="H89" s="232" t="s">
        <v>557</v>
      </c>
      <c r="I89" s="43">
        <v>0.0</v>
      </c>
      <c r="J89" s="177" t="s">
        <v>791</v>
      </c>
      <c r="K89" s="178">
        <v>3.0</v>
      </c>
      <c r="L89" s="199" t="s">
        <v>341</v>
      </c>
      <c r="M89" s="239">
        <v>0.0</v>
      </c>
      <c r="N89" s="239">
        <v>0.0</v>
      </c>
      <c r="O89" s="291" t="s">
        <v>792</v>
      </c>
      <c r="P89" s="292">
        <v>0.0</v>
      </c>
      <c r="Q89" s="292">
        <v>0.0</v>
      </c>
    </row>
    <row r="90">
      <c r="A90" s="1"/>
      <c r="B90" s="234" t="s">
        <v>342</v>
      </c>
      <c r="C90" s="235">
        <v>0.0</v>
      </c>
      <c r="D90" s="236" t="s">
        <v>793</v>
      </c>
      <c r="E90" s="235">
        <v>0.0</v>
      </c>
      <c r="F90" s="235">
        <v>0.0</v>
      </c>
      <c r="G90" s="237">
        <v>0.0</v>
      </c>
      <c r="H90" s="236" t="s">
        <v>559</v>
      </c>
      <c r="I90" s="235">
        <v>0.0</v>
      </c>
      <c r="J90" s="236" t="s">
        <v>794</v>
      </c>
      <c r="K90" s="237">
        <v>3.0</v>
      </c>
      <c r="L90" s="236" t="s">
        <v>344</v>
      </c>
      <c r="M90" s="235">
        <v>0.0</v>
      </c>
      <c r="N90" s="235">
        <v>0.0</v>
      </c>
      <c r="O90" s="236" t="s">
        <v>795</v>
      </c>
      <c r="P90" s="235">
        <v>0.0</v>
      </c>
      <c r="Q90" s="235">
        <v>0.0</v>
      </c>
    </row>
    <row r="91">
      <c r="A91" s="1"/>
      <c r="B91" s="194" t="s">
        <v>345</v>
      </c>
      <c r="C91" s="119">
        <v>0.0</v>
      </c>
      <c r="D91" s="164" t="s">
        <v>796</v>
      </c>
      <c r="E91" s="176">
        <v>0.0</v>
      </c>
      <c r="F91" s="176">
        <v>0.0</v>
      </c>
      <c r="G91" s="165">
        <v>0.0</v>
      </c>
      <c r="H91" s="232" t="s">
        <v>561</v>
      </c>
      <c r="I91" s="43">
        <v>0.0</v>
      </c>
      <c r="J91" s="177" t="s">
        <v>797</v>
      </c>
      <c r="K91" s="178">
        <v>0.0</v>
      </c>
      <c r="L91" s="199" t="s">
        <v>347</v>
      </c>
      <c r="M91" s="239">
        <v>0.0</v>
      </c>
      <c r="N91" s="239">
        <v>0.0</v>
      </c>
      <c r="O91" s="291" t="s">
        <v>798</v>
      </c>
      <c r="P91" s="292">
        <v>0.0</v>
      </c>
      <c r="Q91" s="292">
        <v>0.0</v>
      </c>
    </row>
    <row r="92">
      <c r="A92" s="1"/>
      <c r="B92" s="194" t="s">
        <v>349</v>
      </c>
      <c r="C92" s="119">
        <v>5.0</v>
      </c>
      <c r="D92" s="164" t="s">
        <v>799</v>
      </c>
      <c r="E92" s="176">
        <v>12.0</v>
      </c>
      <c r="F92" s="176">
        <v>6.0</v>
      </c>
      <c r="G92" s="165">
        <v>13.0</v>
      </c>
      <c r="H92" s="232" t="s">
        <v>563</v>
      </c>
      <c r="I92" s="43">
        <v>0.0</v>
      </c>
      <c r="J92" s="177" t="s">
        <v>800</v>
      </c>
      <c r="K92" s="178">
        <v>2.0</v>
      </c>
      <c r="L92" s="199" t="s">
        <v>351</v>
      </c>
      <c r="M92" s="239">
        <v>0.0</v>
      </c>
      <c r="N92" s="239">
        <v>0.0</v>
      </c>
      <c r="O92" s="291" t="s">
        <v>801</v>
      </c>
      <c r="P92" s="292">
        <v>13.0</v>
      </c>
      <c r="Q92" s="292">
        <v>13.0</v>
      </c>
    </row>
    <row r="93">
      <c r="A93" s="1"/>
      <c r="B93" s="234" t="s">
        <v>353</v>
      </c>
      <c r="C93" s="235">
        <v>5.0</v>
      </c>
      <c r="D93" s="236" t="s">
        <v>802</v>
      </c>
      <c r="E93" s="235">
        <v>12.0</v>
      </c>
      <c r="F93" s="235">
        <v>6.0</v>
      </c>
      <c r="G93" s="237">
        <v>13.0</v>
      </c>
      <c r="H93" s="236" t="s">
        <v>565</v>
      </c>
      <c r="I93" s="235">
        <v>0.0</v>
      </c>
      <c r="J93" s="236" t="s">
        <v>803</v>
      </c>
      <c r="K93" s="237">
        <v>2.0</v>
      </c>
      <c r="L93" s="236" t="s">
        <v>355</v>
      </c>
      <c r="M93" s="235">
        <v>0.0</v>
      </c>
      <c r="N93" s="235">
        <v>0.0</v>
      </c>
      <c r="O93" s="236" t="s">
        <v>804</v>
      </c>
      <c r="P93" s="235">
        <v>13.0</v>
      </c>
      <c r="Q93" s="235">
        <v>13.0</v>
      </c>
    </row>
    <row r="94">
      <c r="A94" s="1"/>
      <c r="B94" s="194" t="s">
        <v>357</v>
      </c>
      <c r="C94" s="119">
        <v>0.0</v>
      </c>
      <c r="D94" s="164" t="s">
        <v>805</v>
      </c>
      <c r="E94" s="176">
        <v>0.0</v>
      </c>
      <c r="F94" s="176">
        <v>0.0</v>
      </c>
      <c r="G94" s="165">
        <v>0.0</v>
      </c>
      <c r="H94" s="232" t="s">
        <v>567</v>
      </c>
      <c r="I94" s="43">
        <v>0.0</v>
      </c>
      <c r="J94" s="96"/>
      <c r="K94" s="95"/>
      <c r="L94" s="164" t="s">
        <v>359</v>
      </c>
      <c r="M94" s="176">
        <v>0.0</v>
      </c>
      <c r="N94" s="176">
        <v>0.0</v>
      </c>
      <c r="O94" s="291" t="s">
        <v>806</v>
      </c>
      <c r="P94" s="292">
        <v>0.0</v>
      </c>
      <c r="Q94" s="292">
        <v>0.0</v>
      </c>
    </row>
    <row r="95">
      <c r="A95" s="1"/>
      <c r="B95" s="194" t="s">
        <v>360</v>
      </c>
      <c r="C95" s="119">
        <v>0.0</v>
      </c>
      <c r="D95" s="164" t="s">
        <v>807</v>
      </c>
      <c r="E95" s="176">
        <v>0.0</v>
      </c>
      <c r="F95" s="176">
        <v>0.0</v>
      </c>
      <c r="G95" s="165">
        <v>0.0</v>
      </c>
      <c r="H95" s="232" t="s">
        <v>569</v>
      </c>
      <c r="I95" s="43">
        <v>0.0</v>
      </c>
      <c r="J95" s="96"/>
      <c r="K95" s="95"/>
      <c r="L95" s="164" t="s">
        <v>362</v>
      </c>
      <c r="M95" s="176">
        <v>0.0</v>
      </c>
      <c r="N95" s="176">
        <v>0.0</v>
      </c>
      <c r="O95" s="291" t="s">
        <v>808</v>
      </c>
      <c r="P95" s="292">
        <v>0.0</v>
      </c>
      <c r="Q95" s="292">
        <v>0.0</v>
      </c>
    </row>
    <row r="96">
      <c r="A96" s="1"/>
      <c r="B96" s="234" t="s">
        <v>363</v>
      </c>
      <c r="C96" s="235">
        <v>0.0</v>
      </c>
      <c r="D96" s="236" t="s">
        <v>809</v>
      </c>
      <c r="E96" s="235">
        <v>0.0</v>
      </c>
      <c r="F96" s="235">
        <v>0.0</v>
      </c>
      <c r="G96" s="237">
        <v>0.0</v>
      </c>
      <c r="H96" s="236" t="s">
        <v>571</v>
      </c>
      <c r="I96" s="235">
        <v>0.0</v>
      </c>
      <c r="J96" s="96"/>
      <c r="K96" s="95"/>
      <c r="L96" s="236" t="s">
        <v>365</v>
      </c>
      <c r="M96" s="235">
        <v>0.0</v>
      </c>
      <c r="N96" s="235">
        <v>0.0</v>
      </c>
      <c r="O96" s="236" t="s">
        <v>810</v>
      </c>
      <c r="P96" s="235">
        <v>0.0</v>
      </c>
      <c r="Q96" s="235">
        <v>0.0</v>
      </c>
    </row>
    <row r="97">
      <c r="A97" s="1"/>
      <c r="B97" s="194" t="s">
        <v>366</v>
      </c>
      <c r="C97" s="119">
        <v>0.0</v>
      </c>
      <c r="D97" s="96"/>
      <c r="E97" s="23"/>
      <c r="F97" s="23"/>
      <c r="G97" s="95"/>
      <c r="H97" s="232" t="s">
        <v>573</v>
      </c>
      <c r="I97" s="43">
        <v>0.0</v>
      </c>
      <c r="J97" s="96"/>
      <c r="K97" s="95"/>
      <c r="L97" s="164" t="s">
        <v>368</v>
      </c>
      <c r="M97" s="176">
        <v>0.0</v>
      </c>
      <c r="N97" s="176">
        <v>0.0</v>
      </c>
      <c r="O97" s="291" t="s">
        <v>811</v>
      </c>
      <c r="P97" s="292">
        <v>0.0</v>
      </c>
      <c r="Q97" s="292">
        <v>0.0</v>
      </c>
    </row>
    <row r="98">
      <c r="A98" s="1"/>
      <c r="B98" s="194" t="s">
        <v>369</v>
      </c>
      <c r="C98" s="119">
        <v>0.0</v>
      </c>
      <c r="D98" s="96"/>
      <c r="E98" s="23"/>
      <c r="F98" s="23"/>
      <c r="G98" s="95"/>
      <c r="H98" s="232" t="s">
        <v>575</v>
      </c>
      <c r="I98" s="43">
        <v>0.0</v>
      </c>
      <c r="J98" s="96"/>
      <c r="K98" s="95"/>
      <c r="L98" s="164" t="s">
        <v>371</v>
      </c>
      <c r="M98" s="176">
        <v>13.0</v>
      </c>
      <c r="N98" s="176">
        <v>10.0</v>
      </c>
      <c r="O98" s="291" t="s">
        <v>812</v>
      </c>
      <c r="P98" s="292">
        <v>4.0</v>
      </c>
      <c r="Q98" s="292">
        <v>4.0</v>
      </c>
    </row>
    <row r="99">
      <c r="A99" s="1"/>
      <c r="B99" s="234" t="s">
        <v>372</v>
      </c>
      <c r="C99" s="235">
        <v>0.0</v>
      </c>
      <c r="D99" s="96"/>
      <c r="E99" s="23"/>
      <c r="F99" s="23"/>
      <c r="G99" s="95"/>
      <c r="H99" s="236" t="s">
        <v>577</v>
      </c>
      <c r="I99" s="235">
        <v>0.0</v>
      </c>
      <c r="J99" s="96"/>
      <c r="K99" s="95"/>
      <c r="L99" s="236" t="s">
        <v>374</v>
      </c>
      <c r="M99" s="235">
        <v>13.0</v>
      </c>
      <c r="N99" s="235">
        <v>10.0</v>
      </c>
      <c r="O99" s="236" t="s">
        <v>813</v>
      </c>
      <c r="P99" s="235">
        <v>4.0</v>
      </c>
      <c r="Q99" s="235">
        <v>4.0</v>
      </c>
    </row>
    <row r="100">
      <c r="A100" s="1"/>
      <c r="B100" s="175" t="s">
        <v>359</v>
      </c>
      <c r="C100" s="176">
        <v>0.0</v>
      </c>
      <c r="D100" s="96"/>
      <c r="E100" s="23"/>
      <c r="F100" s="23"/>
      <c r="G100" s="95"/>
      <c r="H100" s="232" t="s">
        <v>578</v>
      </c>
      <c r="I100" s="43">
        <v>0.0</v>
      </c>
      <c r="J100" s="96"/>
      <c r="K100" s="95"/>
      <c r="L100" s="96"/>
      <c r="M100" s="23"/>
      <c r="N100" s="23"/>
      <c r="O100" s="291" t="s">
        <v>814</v>
      </c>
      <c r="P100" s="292">
        <v>0.0</v>
      </c>
      <c r="Q100" s="292">
        <v>0.0</v>
      </c>
    </row>
    <row r="101">
      <c r="A101" s="1"/>
      <c r="B101" s="175" t="s">
        <v>362</v>
      </c>
      <c r="C101" s="176">
        <v>0.0</v>
      </c>
      <c r="D101" s="96"/>
      <c r="E101" s="23"/>
      <c r="F101" s="23"/>
      <c r="G101" s="95"/>
      <c r="H101" s="232" t="s">
        <v>580</v>
      </c>
      <c r="I101" s="43">
        <v>1.0</v>
      </c>
      <c r="J101" s="96"/>
      <c r="K101" s="95"/>
      <c r="L101" s="96"/>
      <c r="M101" s="23"/>
      <c r="N101" s="23"/>
      <c r="O101" s="291" t="s">
        <v>815</v>
      </c>
      <c r="P101" s="292">
        <v>0.0</v>
      </c>
      <c r="Q101" s="292">
        <v>0.0</v>
      </c>
    </row>
    <row r="102">
      <c r="A102" s="1"/>
      <c r="B102" s="234" t="s">
        <v>365</v>
      </c>
      <c r="C102" s="235">
        <v>0.0</v>
      </c>
      <c r="D102" s="96"/>
      <c r="E102" s="23"/>
      <c r="F102" s="23"/>
      <c r="G102" s="95"/>
      <c r="H102" s="236" t="s">
        <v>582</v>
      </c>
      <c r="I102" s="235">
        <v>1.0</v>
      </c>
      <c r="J102" s="96"/>
      <c r="K102" s="95"/>
      <c r="L102" s="96"/>
      <c r="M102" s="23"/>
      <c r="N102" s="23"/>
      <c r="O102" s="236" t="s">
        <v>816</v>
      </c>
      <c r="P102" s="235">
        <v>0.0</v>
      </c>
      <c r="Q102" s="235">
        <v>0.0</v>
      </c>
    </row>
    <row r="103">
      <c r="A103" s="1"/>
      <c r="B103" s="182" t="s">
        <v>378</v>
      </c>
      <c r="C103" s="183">
        <v>0.0</v>
      </c>
      <c r="D103" s="96"/>
      <c r="E103" s="23"/>
      <c r="F103" s="23"/>
      <c r="G103" s="95"/>
      <c r="H103" s="232" t="s">
        <v>584</v>
      </c>
      <c r="I103" s="43">
        <v>0.0</v>
      </c>
      <c r="J103" s="96"/>
      <c r="K103" s="95"/>
      <c r="L103" s="96"/>
      <c r="M103" s="23"/>
      <c r="N103" s="23"/>
      <c r="O103" s="96"/>
      <c r="P103" s="23"/>
      <c r="Q103" s="23"/>
    </row>
    <row r="104">
      <c r="A104" s="1"/>
      <c r="B104" s="182" t="s">
        <v>380</v>
      </c>
      <c r="C104" s="183">
        <v>2.0</v>
      </c>
      <c r="D104" s="96"/>
      <c r="E104" s="23"/>
      <c r="F104" s="23"/>
      <c r="G104" s="95"/>
      <c r="H104" s="232" t="s">
        <v>585</v>
      </c>
      <c r="I104" s="43">
        <v>0.0</v>
      </c>
      <c r="J104" s="96"/>
      <c r="K104" s="95"/>
      <c r="L104" s="96"/>
      <c r="M104" s="23"/>
      <c r="N104" s="23"/>
      <c r="O104" s="96"/>
      <c r="P104" s="23"/>
      <c r="Q104" s="23"/>
    </row>
    <row r="105">
      <c r="A105" s="1"/>
      <c r="B105" s="234" t="s">
        <v>382</v>
      </c>
      <c r="C105" s="235">
        <v>2.0</v>
      </c>
      <c r="D105" s="96"/>
      <c r="E105" s="23"/>
      <c r="F105" s="23"/>
      <c r="G105" s="95"/>
      <c r="H105" s="236" t="s">
        <v>586</v>
      </c>
      <c r="I105" s="235">
        <v>0.0</v>
      </c>
      <c r="J105" s="96"/>
      <c r="K105" s="95"/>
      <c r="L105" s="96"/>
      <c r="M105" s="23"/>
      <c r="N105" s="23"/>
      <c r="O105" s="96"/>
      <c r="P105" s="23"/>
      <c r="Q105" s="23"/>
    </row>
    <row r="106">
      <c r="A106" s="1"/>
      <c r="B106" s="175" t="s">
        <v>384</v>
      </c>
      <c r="C106" s="176">
        <v>0.0</v>
      </c>
      <c r="D106" s="96"/>
      <c r="E106" s="23"/>
      <c r="F106" s="23"/>
      <c r="G106" s="95"/>
      <c r="H106" s="96"/>
      <c r="I106" s="23"/>
      <c r="J106" s="96"/>
      <c r="K106" s="95"/>
      <c r="L106" s="96"/>
      <c r="M106" s="23"/>
      <c r="N106" s="23"/>
      <c r="O106" s="96"/>
      <c r="P106" s="23"/>
      <c r="Q106" s="23"/>
    </row>
    <row r="107">
      <c r="A107" s="1"/>
      <c r="B107" s="175" t="s">
        <v>386</v>
      </c>
      <c r="C107" s="176">
        <v>0.0</v>
      </c>
      <c r="D107" s="96"/>
      <c r="E107" s="23"/>
      <c r="F107" s="23"/>
      <c r="G107" s="95"/>
      <c r="H107" s="96"/>
      <c r="I107" s="23"/>
      <c r="J107" s="96"/>
      <c r="K107" s="95"/>
      <c r="L107" s="96"/>
      <c r="M107" s="23"/>
      <c r="N107" s="23"/>
      <c r="O107" s="96"/>
      <c r="P107" s="23"/>
      <c r="Q107" s="23"/>
    </row>
    <row r="108">
      <c r="A108" s="1"/>
      <c r="B108" s="234" t="s">
        <v>388</v>
      </c>
      <c r="C108" s="235">
        <v>0.0</v>
      </c>
      <c r="D108" s="96"/>
      <c r="E108" s="23"/>
      <c r="F108" s="23"/>
      <c r="G108" s="95"/>
      <c r="H108" s="96"/>
      <c r="I108" s="23"/>
      <c r="J108" s="96"/>
      <c r="K108" s="95"/>
      <c r="L108" s="96"/>
      <c r="M108" s="23"/>
      <c r="N108" s="23"/>
      <c r="O108" s="96"/>
      <c r="P108" s="23"/>
      <c r="Q108" s="23"/>
    </row>
    <row r="109">
      <c r="A109" s="246"/>
      <c r="B109" s="29"/>
      <c r="C109" s="297"/>
      <c r="D109" s="247"/>
      <c r="E109" s="29"/>
      <c r="F109" s="29"/>
      <c r="G109" s="248"/>
      <c r="H109" s="247"/>
      <c r="I109" s="29"/>
      <c r="J109" s="247"/>
      <c r="K109" s="198"/>
      <c r="L109" s="247"/>
      <c r="M109" s="29"/>
      <c r="N109" s="29"/>
      <c r="O109" s="268"/>
      <c r="P109" s="297"/>
      <c r="Q109" s="29"/>
    </row>
    <row r="110">
      <c r="A110" s="55"/>
      <c r="B110" s="37"/>
      <c r="C110" s="53"/>
      <c r="D110" s="151"/>
      <c r="E110" s="53"/>
      <c r="F110" s="53"/>
      <c r="G110" s="150"/>
      <c r="H110" s="151"/>
      <c r="I110" s="53"/>
      <c r="J110" s="151"/>
      <c r="K110" s="150"/>
      <c r="L110" s="151"/>
      <c r="M110" s="53"/>
      <c r="N110" s="53"/>
      <c r="O110" s="151"/>
      <c r="P110" s="53"/>
      <c r="Q110" s="53"/>
    </row>
  </sheetData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13"/>
    <col customWidth="1" min="2" max="3" width="9.38"/>
  </cols>
  <sheetData>
    <row r="1" ht="19.5" customHeight="1">
      <c r="A1" s="1"/>
      <c r="B1" s="56" t="s">
        <v>0</v>
      </c>
      <c r="C1" s="298" t="s">
        <v>11</v>
      </c>
    </row>
    <row r="2">
      <c r="A2" s="47" t="s">
        <v>69</v>
      </c>
      <c r="B2" s="61"/>
      <c r="C2" s="65"/>
    </row>
    <row r="3">
      <c r="A3" s="66" t="s">
        <v>587</v>
      </c>
      <c r="B3" s="277">
        <v>0.73</v>
      </c>
      <c r="C3" s="68"/>
    </row>
    <row r="4">
      <c r="A4" s="66" t="s">
        <v>70</v>
      </c>
      <c r="B4" s="67"/>
      <c r="C4" s="68"/>
    </row>
    <row r="5">
      <c r="A5" s="70" t="s">
        <v>71</v>
      </c>
      <c r="B5" s="71"/>
      <c r="C5" s="72"/>
    </row>
    <row r="6">
      <c r="A6" s="70" t="s">
        <v>75</v>
      </c>
      <c r="B6" s="76" t="s">
        <v>817</v>
      </c>
      <c r="C6" s="74" t="s">
        <v>818</v>
      </c>
    </row>
    <row r="7">
      <c r="A7" s="70" t="s">
        <v>84</v>
      </c>
      <c r="B7" s="76" t="s">
        <v>819</v>
      </c>
      <c r="C7" s="74" t="s">
        <v>820</v>
      </c>
    </row>
    <row r="8">
      <c r="A8" s="70" t="s">
        <v>85</v>
      </c>
      <c r="B8" s="76" t="s">
        <v>607</v>
      </c>
      <c r="C8" s="74" t="s">
        <v>821</v>
      </c>
    </row>
    <row r="9">
      <c r="A9" s="66" t="s">
        <v>86</v>
      </c>
      <c r="B9" s="80" t="s">
        <v>822</v>
      </c>
      <c r="C9" s="81" t="s">
        <v>823</v>
      </c>
    </row>
    <row r="10">
      <c r="A10" s="66" t="s">
        <v>87</v>
      </c>
      <c r="B10" s="77"/>
      <c r="C10" s="81" t="s">
        <v>824</v>
      </c>
    </row>
    <row r="11">
      <c r="A11" s="70" t="s">
        <v>95</v>
      </c>
      <c r="B11" s="281" t="s">
        <v>88</v>
      </c>
      <c r="C11" s="84"/>
    </row>
    <row r="12">
      <c r="A12" s="70" t="s">
        <v>96</v>
      </c>
      <c r="B12" s="281" t="s">
        <v>825</v>
      </c>
      <c r="C12" s="254" t="s">
        <v>826</v>
      </c>
    </row>
    <row r="13">
      <c r="A13" s="70" t="s">
        <v>97</v>
      </c>
      <c r="B13" s="86"/>
      <c r="C13" s="255" t="s">
        <v>827</v>
      </c>
    </row>
    <row r="14">
      <c r="A14" s="70" t="s">
        <v>98</v>
      </c>
      <c r="B14" s="282" t="s">
        <v>828</v>
      </c>
      <c r="C14" s="255" t="s">
        <v>829</v>
      </c>
    </row>
    <row r="15">
      <c r="A15" s="70" t="s">
        <v>99</v>
      </c>
      <c r="B15" s="86"/>
      <c r="C15" s="87"/>
    </row>
    <row r="16">
      <c r="A16" s="70" t="s">
        <v>100</v>
      </c>
      <c r="B16" s="282" t="s">
        <v>830</v>
      </c>
      <c r="C16" s="255" t="s">
        <v>831</v>
      </c>
    </row>
    <row r="17">
      <c r="A17" s="70" t="s">
        <v>633</v>
      </c>
      <c r="B17" s="86"/>
      <c r="C17" s="255" t="s">
        <v>832</v>
      </c>
    </row>
    <row r="18">
      <c r="A18" s="66" t="s">
        <v>101</v>
      </c>
      <c r="B18" s="89">
        <v>0.0</v>
      </c>
      <c r="C18" s="90">
        <v>0.0</v>
      </c>
    </row>
    <row r="19">
      <c r="A19" s="66" t="s">
        <v>102</v>
      </c>
      <c r="B19" s="92">
        <v>0.0</v>
      </c>
      <c r="C19" s="93">
        <v>0.0</v>
      </c>
    </row>
    <row r="20">
      <c r="A20" s="1"/>
      <c r="B20" s="95"/>
      <c r="C20" s="96"/>
    </row>
    <row r="21">
      <c r="A21" s="24" t="s">
        <v>103</v>
      </c>
      <c r="B21" s="95"/>
      <c r="C21" s="96"/>
    </row>
    <row r="22">
      <c r="A22" s="25" t="s">
        <v>104</v>
      </c>
      <c r="B22" s="98"/>
      <c r="C22" s="99">
        <v>11.0</v>
      </c>
    </row>
    <row r="23">
      <c r="A23" s="25" t="s">
        <v>833</v>
      </c>
      <c r="B23" s="122">
        <v>4.0</v>
      </c>
      <c r="C23" s="121"/>
    </row>
    <row r="24">
      <c r="A24" s="25" t="s">
        <v>834</v>
      </c>
      <c r="B24" s="284">
        <v>14.0</v>
      </c>
      <c r="C24" s="285"/>
    </row>
    <row r="25">
      <c r="A25" s="25" t="s">
        <v>635</v>
      </c>
      <c r="B25" s="284">
        <v>2.0</v>
      </c>
      <c r="C25" s="285"/>
    </row>
    <row r="26">
      <c r="A26" s="25" t="s">
        <v>835</v>
      </c>
      <c r="B26" s="284"/>
      <c r="C26" s="285">
        <v>2.0</v>
      </c>
    </row>
    <row r="27">
      <c r="A27" s="1"/>
      <c r="B27" s="95"/>
      <c r="C27" s="96"/>
    </row>
    <row r="28">
      <c r="A28" s="24" t="s">
        <v>108</v>
      </c>
      <c r="B28" s="95"/>
      <c r="C28" s="96"/>
    </row>
    <row r="29">
      <c r="A29" s="114" t="s">
        <v>109</v>
      </c>
      <c r="B29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(37641)",69527)</f>
        <v>69527</v>
      </c>
      <c r="C29" s="116">
        <f>HYPERLINK("https://classic.warcraftlogs.com/reports/GPAaJQBnF19VLft4#type=damage-taken&amp;filter=encounterid%20%21%3D%20724&amp;options=4098&amp;by=ability&amp;translate=true&amp;boss=-2&amp;wipes=2&amp;difficulty=0&amp;source=7&amp;view=events&amp;pins=2%24Off%24%23244F4B%24expression%24ability.id%20IN%"&amp;"20(37641)",94770)</f>
        <v>94770</v>
      </c>
    </row>
    <row r="30">
      <c r="A30" s="114" t="s">
        <v>110</v>
      </c>
      <c r="B30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(37284)",26322)</f>
        <v>26322</v>
      </c>
      <c r="C30" s="116">
        <f>HYPERLINK("https://classic.warcraftlogs.com/reports/GPAaJQBnF19VLft4#type=damage-taken&amp;filter=encounterid%20%21%3D%20724&amp;options=4098&amp;by=ability&amp;translate=true&amp;boss=-2&amp;wipes=2&amp;difficulty=0&amp;source=7&amp;view=events&amp;pins=2%24Off%24%23244F4B%24expression%24ability.id%20IN%"&amp;"20(37284)",21213)</f>
        <v>21213</v>
      </c>
    </row>
    <row r="31">
      <c r="A31" s="114" t="s">
        <v>111</v>
      </c>
      <c r="B31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(3)",2797)</f>
        <v>2797</v>
      </c>
      <c r="C31" s="116">
        <f>HYPERLINK("https://classic.warcraftlogs.com/reports/GPAaJQBnF19VLft4#type=damage-taken&amp;filter=encounterid%20%21%3D%20724&amp;options=4098&amp;by=ability&amp;translate=true&amp;boss=-2&amp;wipes=2&amp;difficulty=0&amp;source=7&amp;view=events&amp;pins=2%24Off%24%23244F4B%24expression%24ability.id%20IN%"&amp;"20(3)",5736)</f>
        <v>5736</v>
      </c>
    </row>
    <row r="32">
      <c r="A32" s="114" t="s">
        <v>112</v>
      </c>
      <c r="B32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(35383)",2388)</f>
        <v>2388</v>
      </c>
      <c r="C32" s="121"/>
    </row>
    <row r="33">
      <c r="A33" s="114" t="s">
        <v>637</v>
      </c>
      <c r="B33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(36721)",26602)</f>
        <v>26602</v>
      </c>
      <c r="C33" s="121"/>
    </row>
    <row r="34">
      <c r="A34" s="114" t="s">
        <v>114</v>
      </c>
      <c r="B34" s="115">
        <f>HYPERLINK("https://classic.warcraftlogs.com/reports/GPAaJQBnF19VLft4#type=damage-taken&amp;filter=encounterid%20%21%3D%20724&amp;options=4098&amp;by=ability&amp;translate=true&amp;boss=-2&amp;wipes=2&amp;difficulty=0&amp;source=5&amp;view=events&amp;pins=2%24Off%24%23244F4B%24expression%24ability.id%20IN%"&amp;"20(360327)",3147)</f>
        <v>3147</v>
      </c>
      <c r="C34" s="121"/>
    </row>
    <row r="35">
      <c r="A35" s="114" t="s">
        <v>117</v>
      </c>
      <c r="B35" s="299">
        <f>HYPERLINK("https://classic.warcraftlogs.com/reports/GPAaJQBnF19VLft4#type=damage-taken&amp;pins=2%24Off%24%23244F4B%24expression%24NOT%20IN%20RANGE%20FROM%20type%20%3D%20%22applydebuff%22%20AND%20ability.id%20%3D%20%2229546%22%20AND%20target.name%3D%22Abafamos%22%20TO%2"&amp;"0type%20%3D%20%22removedebuff%22%20and%20ability.id%3D%2229546%22%20AND%20target.name%3D%22Abafamos%22%20END%20AND%20NOT%20IN%20RANGE%20FROM%20type%20%3D%20%22applydebuff%22%20AND%20ability.id%20%3D%20%2245717%22%20AND%20target.name%3D%22Abafamos%22%20TO%"&amp;"20type%20%3D%20%22removedebuff%22%20and%20ability.id%3D%2245717%22%20AND%20target.name%3D%22Abafamos%22%20END%20AND%20NOT%20IN%20RANGE%20FROM%20type%20%3D%20%22applydebuff%22%20AND%20ability.id%20%3D%20%2237122%22%20AND%20target.name%3D%22Abafamos%22%20TO"&amp;"%20type%20%3D%20%22removedebuff%22%20and%20ability.id%3D%2237122%22%20AND%20target.name%3D%22Abafamos%22%20END%20AND%20NOT%20IN%20RANGE%20FROM%20type%20%3D%20%22applydebuff%22%20AND%20ability.id%20%3D%20%2237135%22%20AND%20target.name%3D%22Abafamos%22%20T"&amp;"O%20type%20%3D%20%22removedebuff%22%20and%20ability.id%3D%2237135%22%20AND%20target.name%3D%22Abafamos%22%20END%20AND%20NOT%20IN%20RANGE%20FROM%20type%20%3D%20%22applydebuff%22%20AND%20ability.id%20%3D%20%2241345%22%20AND%20target.name%3D%22Abafamos%22%20"&amp;"TO%20type%20%3D%20%22removedebuff%22%20and%20ability.id%3D%2241345%22%20AND%20target.name%3D%22Abafamos%22%20END%20AND%20NOT%20IN%20RANGE%20FROM%20type%20%3D%20%22applydebuff%22%20AND%20ability.id%20%3D%20%2243361%22%20AND%20target.name%3D%22Abafamos%22%2"&amp;"0TO%20type%20%3D%20%22removedebuff%22%20and%20ability.id%3D%2243361%22%20AND%20target.name%3D%22Abafamos%22%20END%20AND%20encounterid%20%21%3D%20724%20AND%20ability.id%20%21%3D%2046768%20&amp;options=4135&amp;by=target&amp;translate=true&amp;boss=-2&amp;wipes=2&amp;difficulty=0&amp;"&amp;"view=events&amp;target=5",211607)</f>
        <v>211607</v>
      </c>
      <c r="C35" s="132"/>
    </row>
    <row r="36">
      <c r="A36" s="114" t="s">
        <v>118</v>
      </c>
      <c r="B36" s="137">
        <v>0.0</v>
      </c>
      <c r="C36" s="138">
        <v>3.0</v>
      </c>
    </row>
    <row r="37">
      <c r="A37" s="114" t="s">
        <v>119</v>
      </c>
      <c r="B37" s="142">
        <v>342390.0</v>
      </c>
      <c r="C37" s="143">
        <v>121719.0</v>
      </c>
    </row>
    <row r="38">
      <c r="A38" s="114"/>
      <c r="B38" s="146">
        <f>342390/MAX(B37:C37,1)</f>
        <v>1</v>
      </c>
      <c r="C38" s="147">
        <f>121719/MAX(B37:C37,1)</f>
        <v>0.3554981162</v>
      </c>
    </row>
    <row r="39">
      <c r="A39" s="24" t="s">
        <v>120</v>
      </c>
      <c r="B39" s="95"/>
      <c r="C39" s="96"/>
    </row>
    <row r="40">
      <c r="A40" s="114" t="s">
        <v>121</v>
      </c>
      <c r="B40" s="122">
        <v>6.0</v>
      </c>
      <c r="C40" s="121">
        <v>8.0</v>
      </c>
    </row>
    <row r="41">
      <c r="A41" s="114" t="s">
        <v>122</v>
      </c>
      <c r="B41" s="122"/>
      <c r="C41" s="121">
        <v>2.0</v>
      </c>
    </row>
    <row r="42">
      <c r="A42" s="114"/>
      <c r="B42" s="95"/>
      <c r="C42" s="96"/>
    </row>
    <row r="43">
      <c r="A43" s="55"/>
      <c r="B43" s="150"/>
      <c r="C43" s="151"/>
    </row>
  </sheetData>
  <conditionalFormatting sqref="B29:C37">
    <cfRule type="expression" dxfId="0" priority="1" stopIfTrue="1">
      <formula>(B29/AVERAGE($B29:$C29))&gt;1.75</formula>
    </cfRule>
  </conditionalFormatting>
  <conditionalFormatting sqref="B29:C37">
    <cfRule type="expression" dxfId="1" priority="2" stopIfTrue="1">
      <formula>(B29/AVERAGE($B29:$C29))&gt;1.25</formula>
    </cfRule>
  </conditionalFormatting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50.13"/>
    <col customWidth="1" min="3" max="3" width="9.38"/>
    <col customWidth="1" min="4" max="4" width="50.13"/>
    <col customWidth="1" min="5" max="5" width="9.38"/>
  </cols>
  <sheetData>
    <row r="1" ht="19.5" customHeight="1">
      <c r="A1" s="1"/>
      <c r="B1" s="153" t="s">
        <v>123</v>
      </c>
      <c r="C1" s="2" t="s">
        <v>0</v>
      </c>
      <c r="D1" s="154" t="s">
        <v>407</v>
      </c>
      <c r="E1" s="300" t="s">
        <v>11</v>
      </c>
    </row>
    <row r="2">
      <c r="A2" s="24" t="s">
        <v>127</v>
      </c>
      <c r="B2" s="23"/>
      <c r="C2" s="157"/>
      <c r="D2" s="96"/>
      <c r="E2" s="158"/>
    </row>
    <row r="3">
      <c r="A3" s="1"/>
      <c r="B3" s="159" t="s">
        <v>128</v>
      </c>
      <c r="C3" s="160">
        <v>0.0</v>
      </c>
      <c r="D3" s="161" t="s">
        <v>409</v>
      </c>
      <c r="E3" s="163">
        <v>3.0</v>
      </c>
    </row>
    <row r="4">
      <c r="A4" s="1"/>
      <c r="B4" s="159" t="s">
        <v>133</v>
      </c>
      <c r="C4" s="160" t="s">
        <v>836</v>
      </c>
      <c r="D4" s="161" t="s">
        <v>411</v>
      </c>
      <c r="E4" s="163">
        <v>64.0</v>
      </c>
    </row>
    <row r="5">
      <c r="A5" s="1"/>
      <c r="B5" s="171" t="s">
        <v>137</v>
      </c>
      <c r="C5" s="172">
        <v>0.0</v>
      </c>
      <c r="D5" s="161" t="s">
        <v>413</v>
      </c>
      <c r="E5" s="163">
        <v>0.0</v>
      </c>
    </row>
    <row r="6">
      <c r="A6" s="1"/>
      <c r="B6" s="171" t="s">
        <v>141</v>
      </c>
      <c r="C6" s="172">
        <v>0.0</v>
      </c>
      <c r="D6" s="161" t="s">
        <v>415</v>
      </c>
      <c r="E6" s="163">
        <v>0.0</v>
      </c>
    </row>
    <row r="7">
      <c r="A7" s="1"/>
      <c r="B7" s="175" t="s">
        <v>144</v>
      </c>
      <c r="C7" s="176">
        <v>0.0</v>
      </c>
      <c r="D7" s="161" t="s">
        <v>417</v>
      </c>
      <c r="E7" s="163">
        <v>0.0</v>
      </c>
    </row>
    <row r="8">
      <c r="A8" s="1"/>
      <c r="B8" s="175" t="s">
        <v>149</v>
      </c>
      <c r="C8" s="176">
        <v>0.0</v>
      </c>
      <c r="D8" s="232" t="s">
        <v>419</v>
      </c>
      <c r="E8" s="233">
        <v>2.0</v>
      </c>
    </row>
    <row r="9">
      <c r="A9" s="1"/>
      <c r="B9" s="175" t="s">
        <v>154</v>
      </c>
      <c r="C9" s="176">
        <v>0.0</v>
      </c>
      <c r="D9" s="232" t="s">
        <v>422</v>
      </c>
      <c r="E9" s="233">
        <v>9.0</v>
      </c>
    </row>
    <row r="10">
      <c r="A10" s="1"/>
      <c r="B10" s="175" t="s">
        <v>159</v>
      </c>
      <c r="C10" s="176">
        <v>0.0</v>
      </c>
      <c r="D10" s="232" t="s">
        <v>424</v>
      </c>
      <c r="E10" s="233">
        <v>0.0</v>
      </c>
    </row>
    <row r="11">
      <c r="A11" s="1"/>
      <c r="B11" s="175" t="s">
        <v>164</v>
      </c>
      <c r="C11" s="176">
        <v>0.0</v>
      </c>
      <c r="D11" s="232" t="s">
        <v>426</v>
      </c>
      <c r="E11" s="233">
        <v>0.0</v>
      </c>
    </row>
    <row r="12">
      <c r="A12" s="1"/>
      <c r="B12" s="182" t="s">
        <v>170</v>
      </c>
      <c r="C12" s="183">
        <v>0.0</v>
      </c>
      <c r="D12" s="232" t="s">
        <v>428</v>
      </c>
      <c r="E12" s="233">
        <v>0.0</v>
      </c>
    </row>
    <row r="13">
      <c r="A13" s="1"/>
      <c r="B13" s="175" t="s">
        <v>174</v>
      </c>
      <c r="C13" s="176">
        <v>0.0</v>
      </c>
      <c r="D13" s="232" t="s">
        <v>430</v>
      </c>
      <c r="E13" s="233">
        <v>0.0</v>
      </c>
    </row>
    <row r="14">
      <c r="A14" s="1"/>
      <c r="B14" s="175" t="s">
        <v>178</v>
      </c>
      <c r="C14" s="176">
        <v>0.0</v>
      </c>
      <c r="D14" s="232" t="s">
        <v>432</v>
      </c>
      <c r="E14" s="233">
        <v>0.0</v>
      </c>
    </row>
    <row r="15">
      <c r="A15" s="1"/>
      <c r="B15" s="185" t="s">
        <v>182</v>
      </c>
      <c r="C15" s="167">
        <v>0.0</v>
      </c>
      <c r="D15" s="232" t="s">
        <v>434</v>
      </c>
      <c r="E15" s="233">
        <v>0.0</v>
      </c>
    </row>
    <row r="16">
      <c r="A16" s="1"/>
      <c r="B16" s="182" t="s">
        <v>185</v>
      </c>
      <c r="C16" s="183">
        <v>0.0</v>
      </c>
      <c r="D16" s="232" t="s">
        <v>435</v>
      </c>
      <c r="E16" s="233">
        <v>0.0</v>
      </c>
    </row>
    <row r="17">
      <c r="A17" s="1"/>
      <c r="B17" s="188" t="s">
        <v>188</v>
      </c>
      <c r="C17" s="189">
        <v>0.0</v>
      </c>
      <c r="D17" s="232" t="s">
        <v>437</v>
      </c>
      <c r="E17" s="233">
        <v>0.0</v>
      </c>
    </row>
    <row r="18">
      <c r="A18" s="1"/>
      <c r="B18" s="188" t="s">
        <v>192</v>
      </c>
      <c r="C18" s="189">
        <v>0.0</v>
      </c>
      <c r="D18" s="232" t="s">
        <v>439</v>
      </c>
      <c r="E18" s="233">
        <v>0.0</v>
      </c>
    </row>
    <row r="19">
      <c r="A19" s="1"/>
      <c r="B19" s="188" t="s">
        <v>196</v>
      </c>
      <c r="C19" s="189">
        <v>0.0</v>
      </c>
      <c r="D19" s="232" t="s">
        <v>440</v>
      </c>
      <c r="E19" s="233">
        <v>0.0</v>
      </c>
    </row>
    <row r="20">
      <c r="A20" s="1"/>
      <c r="B20" s="188" t="s">
        <v>200</v>
      </c>
      <c r="C20" s="189">
        <v>0.0</v>
      </c>
      <c r="D20" s="169" t="s">
        <v>442</v>
      </c>
      <c r="E20" s="170">
        <v>0.0</v>
      </c>
    </row>
    <row r="21">
      <c r="A21" s="1"/>
      <c r="B21" s="188" t="s">
        <v>204</v>
      </c>
      <c r="C21" s="189">
        <v>0.0</v>
      </c>
      <c r="D21" s="173" t="s">
        <v>445</v>
      </c>
      <c r="E21" s="174">
        <v>0.0</v>
      </c>
    </row>
    <row r="22">
      <c r="A22" s="1"/>
      <c r="B22" s="188" t="s">
        <v>208</v>
      </c>
      <c r="C22" s="189">
        <v>0.0</v>
      </c>
      <c r="D22" s="166" t="s">
        <v>447</v>
      </c>
      <c r="E22" s="168">
        <v>0.0</v>
      </c>
    </row>
    <row r="23">
      <c r="A23" s="1"/>
      <c r="B23" s="188" t="s">
        <v>212</v>
      </c>
      <c r="C23" s="189">
        <v>0.0</v>
      </c>
      <c r="D23" s="195" t="s">
        <v>449</v>
      </c>
      <c r="E23" s="196">
        <v>35.0</v>
      </c>
    </row>
    <row r="24">
      <c r="A24" s="1"/>
      <c r="B24" s="188" t="s">
        <v>216</v>
      </c>
      <c r="C24" s="189">
        <v>0.0</v>
      </c>
      <c r="D24" s="195" t="s">
        <v>452</v>
      </c>
      <c r="E24" s="196">
        <v>0.0</v>
      </c>
    </row>
    <row r="25">
      <c r="A25" s="1"/>
      <c r="B25" s="188" t="s">
        <v>220</v>
      </c>
      <c r="C25" s="189">
        <v>0.0</v>
      </c>
      <c r="D25" s="195" t="s">
        <v>454</v>
      </c>
      <c r="E25" s="196">
        <v>0.0</v>
      </c>
    </row>
    <row r="26">
      <c r="A26" s="1"/>
      <c r="B26" s="188" t="s">
        <v>224</v>
      </c>
      <c r="C26" s="189">
        <v>0.0</v>
      </c>
      <c r="D26" s="195" t="s">
        <v>456</v>
      </c>
      <c r="E26" s="196">
        <v>7.0</v>
      </c>
    </row>
    <row r="27">
      <c r="A27" s="1"/>
      <c r="B27" s="188" t="s">
        <v>228</v>
      </c>
      <c r="C27" s="189">
        <v>0.0</v>
      </c>
      <c r="D27" s="195" t="s">
        <v>459</v>
      </c>
      <c r="E27" s="196">
        <v>19.0</v>
      </c>
    </row>
    <row r="28">
      <c r="A28" s="1"/>
      <c r="B28" s="194" t="s">
        <v>232</v>
      </c>
      <c r="C28" s="119">
        <v>280.0</v>
      </c>
      <c r="D28" s="195" t="s">
        <v>461</v>
      </c>
      <c r="E28" s="196">
        <v>0.0</v>
      </c>
    </row>
    <row r="29">
      <c r="A29" s="1"/>
      <c r="B29" s="194" t="s">
        <v>235</v>
      </c>
      <c r="C29" s="119">
        <v>0.0</v>
      </c>
      <c r="D29" s="195" t="s">
        <v>463</v>
      </c>
      <c r="E29" s="196">
        <v>0.0</v>
      </c>
    </row>
    <row r="30">
      <c r="A30" s="1"/>
      <c r="B30" s="194" t="s">
        <v>238</v>
      </c>
      <c r="C30" s="119">
        <v>8.0</v>
      </c>
      <c r="D30" s="195" t="s">
        <v>465</v>
      </c>
      <c r="E30" s="196" t="s">
        <v>837</v>
      </c>
    </row>
    <row r="31">
      <c r="A31" s="1"/>
      <c r="B31" s="194" t="s">
        <v>241</v>
      </c>
      <c r="C31" s="119">
        <v>10.0</v>
      </c>
      <c r="D31" s="195" t="s">
        <v>468</v>
      </c>
      <c r="E31" s="196">
        <v>15.0</v>
      </c>
    </row>
    <row r="32">
      <c r="A32" s="1"/>
      <c r="B32" s="194" t="s">
        <v>243</v>
      </c>
      <c r="C32" s="119">
        <v>0.0</v>
      </c>
      <c r="D32" s="195" t="s">
        <v>470</v>
      </c>
      <c r="E32" s="196">
        <v>4.0</v>
      </c>
    </row>
    <row r="33">
      <c r="A33" s="1"/>
      <c r="B33" s="194" t="s">
        <v>245</v>
      </c>
      <c r="C33" s="119">
        <v>0.0</v>
      </c>
      <c r="D33" s="195" t="s">
        <v>472</v>
      </c>
      <c r="E33" s="196">
        <v>0.0</v>
      </c>
    </row>
    <row r="34">
      <c r="A34" s="1"/>
      <c r="B34" s="194" t="s">
        <v>247</v>
      </c>
      <c r="C34" s="119">
        <v>1.0</v>
      </c>
      <c r="D34" s="265" t="s">
        <v>476</v>
      </c>
      <c r="E34" s="301">
        <v>0.0</v>
      </c>
    </row>
    <row r="35">
      <c r="A35" s="1"/>
      <c r="B35" s="194" t="s">
        <v>249</v>
      </c>
      <c r="C35" s="119">
        <v>0.0</v>
      </c>
      <c r="D35" s="195" t="s">
        <v>478</v>
      </c>
      <c r="E35" s="196">
        <v>0.0</v>
      </c>
    </row>
    <row r="36">
      <c r="A36" s="1"/>
      <c r="B36" s="194" t="s">
        <v>251</v>
      </c>
      <c r="C36" s="119">
        <v>0.0</v>
      </c>
      <c r="D36" s="195" t="s">
        <v>481</v>
      </c>
      <c r="E36" s="196">
        <v>0.0</v>
      </c>
    </row>
    <row r="37">
      <c r="A37" s="1"/>
      <c r="B37" s="194" t="s">
        <v>253</v>
      </c>
      <c r="C37" s="119">
        <v>6.0</v>
      </c>
      <c r="D37" s="195" t="s">
        <v>483</v>
      </c>
      <c r="E37" s="196">
        <v>0.0</v>
      </c>
    </row>
    <row r="38">
      <c r="A38" s="1"/>
      <c r="B38" s="194" t="s">
        <v>255</v>
      </c>
      <c r="C38" s="119">
        <v>4.0</v>
      </c>
      <c r="D38" s="195" t="s">
        <v>485</v>
      </c>
      <c r="E38" s="196">
        <v>316.0</v>
      </c>
    </row>
    <row r="39">
      <c r="A39" s="1"/>
      <c r="B39" s="194" t="s">
        <v>257</v>
      </c>
      <c r="C39" s="119">
        <v>3.0</v>
      </c>
      <c r="D39" s="195" t="s">
        <v>487</v>
      </c>
      <c r="E39" s="196">
        <v>0.0</v>
      </c>
    </row>
    <row r="40">
      <c r="A40" s="1"/>
      <c r="B40" s="194" t="s">
        <v>258</v>
      </c>
      <c r="C40" s="119">
        <v>12.0</v>
      </c>
      <c r="D40" s="195" t="s">
        <v>489</v>
      </c>
      <c r="E40" s="196">
        <v>0.0</v>
      </c>
    </row>
    <row r="41">
      <c r="A41" s="1"/>
      <c r="B41" s="194" t="s">
        <v>260</v>
      </c>
      <c r="C41" s="119">
        <v>262.0</v>
      </c>
      <c r="D41" s="195" t="s">
        <v>492</v>
      </c>
      <c r="E41" s="196">
        <v>0.0</v>
      </c>
    </row>
    <row r="42">
      <c r="A42" s="1"/>
      <c r="B42" s="201" t="s">
        <v>263</v>
      </c>
      <c r="C42" s="193">
        <v>0.0</v>
      </c>
      <c r="D42" s="195" t="s">
        <v>495</v>
      </c>
      <c r="E42" s="196">
        <v>18.0</v>
      </c>
    </row>
    <row r="43">
      <c r="A43" s="1"/>
      <c r="B43" s="194" t="s">
        <v>265</v>
      </c>
      <c r="C43" s="119">
        <v>222.0</v>
      </c>
      <c r="D43" s="191" t="s">
        <v>232</v>
      </c>
      <c r="E43" s="117">
        <v>1041.0</v>
      </c>
    </row>
    <row r="44">
      <c r="A44" s="1"/>
      <c r="B44" s="194" t="s">
        <v>267</v>
      </c>
      <c r="C44" s="119">
        <v>13.0</v>
      </c>
      <c r="D44" s="267" t="s">
        <v>499</v>
      </c>
      <c r="E44" s="302">
        <v>0.0</v>
      </c>
    </row>
    <row r="45">
      <c r="A45" s="1"/>
      <c r="B45" s="194" t="s">
        <v>269</v>
      </c>
      <c r="C45" s="119">
        <v>464.0</v>
      </c>
      <c r="D45" s="267" t="s">
        <v>503</v>
      </c>
      <c r="E45" s="302">
        <v>0.0</v>
      </c>
    </row>
    <row r="46">
      <c r="A46" s="1"/>
      <c r="B46" s="194" t="s">
        <v>271</v>
      </c>
      <c r="C46" s="119">
        <v>0.0</v>
      </c>
      <c r="D46" s="267" t="s">
        <v>505</v>
      </c>
      <c r="E46" s="302">
        <v>0.0</v>
      </c>
    </row>
    <row r="47">
      <c r="A47" s="1"/>
      <c r="B47" s="194" t="s">
        <v>273</v>
      </c>
      <c r="C47" s="119">
        <v>0.0</v>
      </c>
      <c r="D47" s="267" t="s">
        <v>508</v>
      </c>
      <c r="E47" s="302">
        <v>0.0</v>
      </c>
    </row>
    <row r="48">
      <c r="A48" s="1"/>
      <c r="B48" s="194" t="s">
        <v>275</v>
      </c>
      <c r="C48" s="119">
        <v>0.0</v>
      </c>
      <c r="D48" s="267" t="s">
        <v>512</v>
      </c>
      <c r="E48" s="302">
        <v>0.0</v>
      </c>
    </row>
    <row r="49">
      <c r="A49" s="1"/>
      <c r="B49" s="194" t="s">
        <v>278</v>
      </c>
      <c r="C49" s="119">
        <v>0.0</v>
      </c>
      <c r="D49" s="267" t="s">
        <v>514</v>
      </c>
      <c r="E49" s="302">
        <v>0.0</v>
      </c>
    </row>
    <row r="50">
      <c r="A50" s="1"/>
      <c r="B50" s="194" t="s">
        <v>279</v>
      </c>
      <c r="C50" s="119">
        <v>1.0</v>
      </c>
      <c r="D50" s="267" t="s">
        <v>516</v>
      </c>
      <c r="E50" s="302">
        <v>0.0</v>
      </c>
    </row>
    <row r="51">
      <c r="A51" s="1"/>
      <c r="B51" s="194" t="s">
        <v>280</v>
      </c>
      <c r="C51" s="119">
        <v>0.0</v>
      </c>
      <c r="D51" s="267" t="s">
        <v>518</v>
      </c>
      <c r="E51" s="302">
        <v>0.0</v>
      </c>
    </row>
    <row r="52">
      <c r="A52" s="1"/>
      <c r="B52" s="194" t="s">
        <v>281</v>
      </c>
      <c r="C52" s="119">
        <v>358.0</v>
      </c>
      <c r="D52" s="267" t="s">
        <v>521</v>
      </c>
      <c r="E52" s="302">
        <v>0.0</v>
      </c>
    </row>
    <row r="53">
      <c r="A53" s="1"/>
      <c r="B53" s="194" t="s">
        <v>282</v>
      </c>
      <c r="C53" s="119">
        <v>0.0</v>
      </c>
      <c r="D53" s="267" t="s">
        <v>523</v>
      </c>
      <c r="E53" s="302">
        <v>0.0</v>
      </c>
    </row>
    <row r="54">
      <c r="A54" s="1"/>
      <c r="B54" s="194" t="s">
        <v>283</v>
      </c>
      <c r="C54" s="119">
        <v>0.0</v>
      </c>
      <c r="D54" s="96"/>
      <c r="E54" s="95"/>
    </row>
    <row r="55">
      <c r="A55" s="1"/>
      <c r="B55" s="23"/>
      <c r="C55" s="23"/>
      <c r="D55" s="96"/>
      <c r="E55" s="95"/>
    </row>
    <row r="56">
      <c r="A56" s="24" t="s">
        <v>284</v>
      </c>
      <c r="B56" s="23"/>
      <c r="C56" s="23"/>
      <c r="D56" s="96"/>
      <c r="E56" s="95"/>
    </row>
    <row r="57">
      <c r="A57" s="1"/>
      <c r="B57" s="175" t="s">
        <v>285</v>
      </c>
      <c r="C57" s="176">
        <v>0.0</v>
      </c>
      <c r="D57" s="195" t="s">
        <v>532</v>
      </c>
      <c r="E57" s="196">
        <v>124.0</v>
      </c>
    </row>
    <row r="58">
      <c r="A58" s="1"/>
      <c r="B58" s="23"/>
      <c r="C58" s="23"/>
      <c r="D58" s="96"/>
      <c r="E58" s="95"/>
    </row>
    <row r="59">
      <c r="A59" s="205"/>
      <c r="B59" s="206"/>
      <c r="C59" s="206">
        <v>1235.0</v>
      </c>
      <c r="D59" s="207"/>
      <c r="E59" s="208">
        <v>1194.0</v>
      </c>
    </row>
    <row r="60">
      <c r="A60" s="209" t="s">
        <v>307</v>
      </c>
      <c r="B60" s="210"/>
      <c r="C60" s="211">
        <v>1235.0</v>
      </c>
      <c r="D60" s="212"/>
      <c r="E60" s="213">
        <v>733.0</v>
      </c>
    </row>
    <row r="61">
      <c r="A61" s="214" t="s">
        <v>308</v>
      </c>
      <c r="B61" s="215"/>
      <c r="C61" s="215">
        <f>1235/MAX(A59:E59,1)</f>
        <v>1</v>
      </c>
      <c r="D61" s="216"/>
      <c r="E61" s="217">
        <f>733/MAX(A59:E59,1)</f>
        <v>0.5935222672</v>
      </c>
    </row>
    <row r="62">
      <c r="A62" s="218" t="s">
        <v>309</v>
      </c>
      <c r="B62" s="219"/>
      <c r="C62" s="220">
        <f>C61+C63</f>
        <v>1</v>
      </c>
      <c r="D62" s="221"/>
      <c r="E62" s="222">
        <f>E61+E63</f>
        <v>0.9668016194</v>
      </c>
    </row>
    <row r="63">
      <c r="A63" s="223" t="s">
        <v>310</v>
      </c>
      <c r="B63" s="224"/>
      <c r="C63" s="224">
        <f>0/MAX(A59:E59,1)</f>
        <v>0</v>
      </c>
      <c r="D63" s="225"/>
      <c r="E63" s="226">
        <f>461/MAX(A59:E59,1)</f>
        <v>0.3732793522</v>
      </c>
    </row>
    <row r="64">
      <c r="A64" s="209" t="s">
        <v>311</v>
      </c>
      <c r="B64" s="210"/>
      <c r="C64" s="211">
        <v>0.0</v>
      </c>
      <c r="D64" s="212"/>
      <c r="E64" s="213">
        <v>461.0</v>
      </c>
    </row>
    <row r="65">
      <c r="A65" s="227" t="s">
        <v>312</v>
      </c>
      <c r="B65" s="228"/>
      <c r="C65" s="228">
        <v>0.76</v>
      </c>
      <c r="D65" s="229"/>
      <c r="E65" s="230">
        <v>0.71</v>
      </c>
    </row>
    <row r="66">
      <c r="A66" s="1"/>
      <c r="B66" s="23"/>
      <c r="C66" s="23"/>
      <c r="D66" s="96"/>
      <c r="E66" s="95"/>
    </row>
    <row r="67">
      <c r="A67" s="24" t="s">
        <v>313</v>
      </c>
      <c r="B67" s="23"/>
      <c r="C67" s="23"/>
      <c r="D67" s="96"/>
      <c r="E67" s="95"/>
    </row>
    <row r="68">
      <c r="A68" s="1"/>
      <c r="B68" s="231" t="s">
        <v>314</v>
      </c>
      <c r="C68" s="43">
        <v>0.0</v>
      </c>
      <c r="D68" s="232" t="s">
        <v>546</v>
      </c>
      <c r="E68" s="233">
        <v>0.0</v>
      </c>
    </row>
    <row r="69">
      <c r="A69" s="1"/>
      <c r="B69" s="231" t="s">
        <v>315</v>
      </c>
      <c r="C69" s="43">
        <v>0.0</v>
      </c>
      <c r="D69" s="232" t="s">
        <v>547</v>
      </c>
      <c r="E69" s="233">
        <v>1.0</v>
      </c>
    </row>
    <row r="70">
      <c r="A70" s="1"/>
      <c r="B70" s="234" t="s">
        <v>316</v>
      </c>
      <c r="C70" s="235">
        <v>0.0</v>
      </c>
      <c r="D70" s="236" t="s">
        <v>316</v>
      </c>
      <c r="E70" s="237">
        <v>1.0</v>
      </c>
    </row>
    <row r="71">
      <c r="A71" s="1"/>
      <c r="B71" s="238" t="s">
        <v>317</v>
      </c>
      <c r="C71" s="239">
        <v>0.0</v>
      </c>
      <c r="D71" s="199" t="s">
        <v>317</v>
      </c>
      <c r="E71" s="200">
        <v>0.0</v>
      </c>
    </row>
    <row r="72">
      <c r="A72" s="1"/>
      <c r="B72" s="238" t="s">
        <v>318</v>
      </c>
      <c r="C72" s="239">
        <v>10.0</v>
      </c>
      <c r="D72" s="199" t="s">
        <v>318</v>
      </c>
      <c r="E72" s="200">
        <v>10.0</v>
      </c>
    </row>
    <row r="73">
      <c r="A73" s="1"/>
      <c r="B73" s="234" t="s">
        <v>319</v>
      </c>
      <c r="C73" s="235">
        <v>10.0</v>
      </c>
      <c r="D73" s="236" t="s">
        <v>319</v>
      </c>
      <c r="E73" s="237">
        <v>10.0</v>
      </c>
    </row>
    <row r="74">
      <c r="A74" s="1"/>
      <c r="B74" s="188" t="s">
        <v>320</v>
      </c>
      <c r="C74" s="189">
        <v>0.0</v>
      </c>
      <c r="D74" s="240" t="s">
        <v>321</v>
      </c>
      <c r="E74" s="241">
        <v>0.0</v>
      </c>
    </row>
    <row r="75">
      <c r="A75" s="1"/>
      <c r="B75" s="188" t="s">
        <v>322</v>
      </c>
      <c r="C75" s="189">
        <v>3.0</v>
      </c>
      <c r="D75" s="240" t="s">
        <v>324</v>
      </c>
      <c r="E75" s="241">
        <v>0.0</v>
      </c>
    </row>
    <row r="76">
      <c r="A76" s="1"/>
      <c r="B76" s="234" t="s">
        <v>325</v>
      </c>
      <c r="C76" s="235">
        <v>3.0</v>
      </c>
      <c r="D76" s="236" t="s">
        <v>325</v>
      </c>
      <c r="E76" s="237">
        <v>0.0</v>
      </c>
    </row>
    <row r="77">
      <c r="A77" s="1"/>
      <c r="B77" s="194" t="s">
        <v>326</v>
      </c>
      <c r="C77" s="119">
        <v>0.0</v>
      </c>
      <c r="D77" s="195" t="s">
        <v>549</v>
      </c>
      <c r="E77" s="196">
        <v>0.0</v>
      </c>
    </row>
    <row r="78">
      <c r="A78" s="1"/>
      <c r="B78" s="194" t="s">
        <v>330</v>
      </c>
      <c r="C78" s="119">
        <v>0.0</v>
      </c>
      <c r="D78" s="195" t="s">
        <v>551</v>
      </c>
      <c r="E78" s="196">
        <v>8.0</v>
      </c>
    </row>
    <row r="79">
      <c r="A79" s="1"/>
      <c r="B79" s="234" t="s">
        <v>333</v>
      </c>
      <c r="C79" s="235">
        <v>0.0</v>
      </c>
      <c r="D79" s="236" t="s">
        <v>553</v>
      </c>
      <c r="E79" s="237">
        <v>8.0</v>
      </c>
    </row>
    <row r="80">
      <c r="A80" s="1"/>
      <c r="B80" s="194" t="s">
        <v>336</v>
      </c>
      <c r="C80" s="119">
        <v>0.0</v>
      </c>
      <c r="D80" s="232" t="s">
        <v>555</v>
      </c>
      <c r="E80" s="233">
        <v>0.0</v>
      </c>
    </row>
    <row r="81">
      <c r="A81" s="1"/>
      <c r="B81" s="194" t="s">
        <v>339</v>
      </c>
      <c r="C81" s="119">
        <v>1.0</v>
      </c>
      <c r="D81" s="232" t="s">
        <v>557</v>
      </c>
      <c r="E81" s="233">
        <v>0.0</v>
      </c>
    </row>
    <row r="82">
      <c r="A82" s="1"/>
      <c r="B82" s="234" t="s">
        <v>342</v>
      </c>
      <c r="C82" s="235">
        <v>1.0</v>
      </c>
      <c r="D82" s="236" t="s">
        <v>559</v>
      </c>
      <c r="E82" s="237">
        <v>0.0</v>
      </c>
    </row>
    <row r="83">
      <c r="A83" s="1"/>
      <c r="B83" s="194" t="s">
        <v>345</v>
      </c>
      <c r="C83" s="119">
        <v>0.0</v>
      </c>
      <c r="D83" s="232" t="s">
        <v>561</v>
      </c>
      <c r="E83" s="233">
        <v>0.0</v>
      </c>
    </row>
    <row r="84">
      <c r="A84" s="1"/>
      <c r="B84" s="194" t="s">
        <v>349</v>
      </c>
      <c r="C84" s="119">
        <v>0.0</v>
      </c>
      <c r="D84" s="232" t="s">
        <v>563</v>
      </c>
      <c r="E84" s="233">
        <v>0.0</v>
      </c>
    </row>
    <row r="85">
      <c r="A85" s="1"/>
      <c r="B85" s="234" t="s">
        <v>353</v>
      </c>
      <c r="C85" s="235">
        <v>0.0</v>
      </c>
      <c r="D85" s="236" t="s">
        <v>565</v>
      </c>
      <c r="E85" s="237">
        <v>0.0</v>
      </c>
    </row>
    <row r="86">
      <c r="A86" s="1"/>
      <c r="B86" s="194" t="s">
        <v>357</v>
      </c>
      <c r="C86" s="119">
        <v>0.0</v>
      </c>
      <c r="D86" s="232" t="s">
        <v>567</v>
      </c>
      <c r="E86" s="233">
        <v>0.0</v>
      </c>
    </row>
    <row r="87">
      <c r="A87" s="1"/>
      <c r="B87" s="194" t="s">
        <v>360</v>
      </c>
      <c r="C87" s="119">
        <v>0.0</v>
      </c>
      <c r="D87" s="232" t="s">
        <v>569</v>
      </c>
      <c r="E87" s="233">
        <v>0.0</v>
      </c>
    </row>
    <row r="88">
      <c r="A88" s="1"/>
      <c r="B88" s="234" t="s">
        <v>363</v>
      </c>
      <c r="C88" s="235">
        <v>0.0</v>
      </c>
      <c r="D88" s="236" t="s">
        <v>571</v>
      </c>
      <c r="E88" s="237">
        <v>0.0</v>
      </c>
    </row>
    <row r="89">
      <c r="A89" s="1"/>
      <c r="B89" s="194" t="s">
        <v>366</v>
      </c>
      <c r="C89" s="119">
        <v>0.0</v>
      </c>
      <c r="D89" s="232" t="s">
        <v>573</v>
      </c>
      <c r="E89" s="233">
        <v>0.0</v>
      </c>
    </row>
    <row r="90">
      <c r="A90" s="1"/>
      <c r="B90" s="194" t="s">
        <v>369</v>
      </c>
      <c r="C90" s="119">
        <v>0.0</v>
      </c>
      <c r="D90" s="232" t="s">
        <v>575</v>
      </c>
      <c r="E90" s="233">
        <v>0.0</v>
      </c>
    </row>
    <row r="91">
      <c r="A91" s="1"/>
      <c r="B91" s="234" t="s">
        <v>372</v>
      </c>
      <c r="C91" s="235">
        <v>0.0</v>
      </c>
      <c r="D91" s="236" t="s">
        <v>577</v>
      </c>
      <c r="E91" s="237">
        <v>0.0</v>
      </c>
    </row>
    <row r="92">
      <c r="A92" s="1"/>
      <c r="B92" s="175" t="s">
        <v>359</v>
      </c>
      <c r="C92" s="176">
        <v>0.0</v>
      </c>
      <c r="D92" s="232" t="s">
        <v>578</v>
      </c>
      <c r="E92" s="233">
        <v>0.0</v>
      </c>
    </row>
    <row r="93">
      <c r="A93" s="1"/>
      <c r="B93" s="175" t="s">
        <v>362</v>
      </c>
      <c r="C93" s="176">
        <v>0.0</v>
      </c>
      <c r="D93" s="232" t="s">
        <v>580</v>
      </c>
      <c r="E93" s="233">
        <v>2.0</v>
      </c>
    </row>
    <row r="94">
      <c r="A94" s="1"/>
      <c r="B94" s="234" t="s">
        <v>365</v>
      </c>
      <c r="C94" s="235">
        <v>0.0</v>
      </c>
      <c r="D94" s="236" t="s">
        <v>582</v>
      </c>
      <c r="E94" s="237">
        <v>2.0</v>
      </c>
    </row>
    <row r="95">
      <c r="A95" s="1"/>
      <c r="B95" s="182" t="s">
        <v>378</v>
      </c>
      <c r="C95" s="183">
        <v>0.0</v>
      </c>
      <c r="D95" s="232" t="s">
        <v>584</v>
      </c>
      <c r="E95" s="233">
        <v>0.0</v>
      </c>
    </row>
    <row r="96">
      <c r="A96" s="1"/>
      <c r="B96" s="182" t="s">
        <v>380</v>
      </c>
      <c r="C96" s="183">
        <v>0.0</v>
      </c>
      <c r="D96" s="232" t="s">
        <v>585</v>
      </c>
      <c r="E96" s="233">
        <v>0.0</v>
      </c>
    </row>
    <row r="97">
      <c r="A97" s="1"/>
      <c r="B97" s="234" t="s">
        <v>382</v>
      </c>
      <c r="C97" s="235">
        <v>0.0</v>
      </c>
      <c r="D97" s="236" t="s">
        <v>586</v>
      </c>
      <c r="E97" s="237">
        <v>0.0</v>
      </c>
    </row>
    <row r="98">
      <c r="A98" s="1"/>
      <c r="B98" s="175" t="s">
        <v>384</v>
      </c>
      <c r="C98" s="176">
        <v>0.0</v>
      </c>
      <c r="D98" s="96"/>
      <c r="E98" s="95"/>
    </row>
    <row r="99">
      <c r="A99" s="1"/>
      <c r="B99" s="175" t="s">
        <v>386</v>
      </c>
      <c r="C99" s="176">
        <v>0.0</v>
      </c>
      <c r="D99" s="96"/>
      <c r="E99" s="95"/>
    </row>
    <row r="100">
      <c r="A100" s="1"/>
      <c r="B100" s="234" t="s">
        <v>388</v>
      </c>
      <c r="C100" s="235">
        <v>0.0</v>
      </c>
      <c r="D100" s="96"/>
      <c r="E100" s="95"/>
    </row>
    <row r="101">
      <c r="A101" s="246"/>
      <c r="B101" s="29"/>
      <c r="C101" s="29"/>
      <c r="D101" s="247"/>
      <c r="E101" s="248"/>
    </row>
    <row r="102">
      <c r="A102" s="55"/>
      <c r="B102" s="37"/>
      <c r="C102" s="53"/>
      <c r="D102" s="151"/>
      <c r="E102" s="150"/>
    </row>
  </sheetData>
  <printOptions gridLines="1" horizontalCentered="1"/>
  <pageMargins bottom="0.0" footer="0.0" header="0.0" left="0.0" right="0.0" top="0.0"/>
  <pageSetup fitToWidth="0" cellComments="atEnd" orientation="landscape" pageOrder="overThenDown" paperHeight="8.7in" paperWidth="15in"/>
  <drawing r:id="rId2"/>
  <legacyDrawing r:id="rId3"/>
</worksheet>
</file>